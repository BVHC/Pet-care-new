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 Dự án" sheetId="1" state="visible" r:id="rId1"/>
    <sheet name="Chú thích màu sắc" sheetId="2" state="visible" r:id="rId2"/>
    <sheet name="Phân công module" sheetId="3" state="visible" r:id="rId3"/>
    <sheet name="FSM &amp; Rules" sheetId="4" state="visible" r:id="rId4"/>
    <sheet name="Đối chiếu phạm vi" sheetId="5" state="visible" r:id="rId5"/>
    <sheet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F4E7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color rgb="0000610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DCE4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D9E2F3"/>
      </patternFill>
    </fill>
    <fill>
      <patternFill patternType="solid">
        <fgColor rgb="00BDD7EE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165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9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165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9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wrapText="1"/>
    </xf>
    <xf numFmtId="165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/>
    </xf>
    <xf numFmtId="9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 wrapText="1"/>
    </xf>
    <xf numFmtId="165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/>
    </xf>
    <xf numFmtId="9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vertical="center" wrapText="1"/>
    </xf>
    <xf numFmtId="165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vertical="center"/>
    </xf>
    <xf numFmtId="9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vertical="center" wrapText="1"/>
    </xf>
    <xf numFmtId="165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vertical="center"/>
    </xf>
    <xf numFmtId="9" fontId="4" fillId="9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3" borderId="1" pivotButton="0" quotePrefix="0" xfId="0"/>
    <xf numFmtId="0" fontId="4" fillId="0" borderId="0" applyAlignment="1" pivotButton="0" quotePrefix="0" xfId="0">
      <alignment vertical="top" wrapText="1"/>
    </xf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4" fillId="9" borderId="1" pivotButton="0" quotePrefix="0" xfId="0"/>
    <xf numFmtId="0" fontId="4" fillId="4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0" borderId="0" pivotButton="0" quotePrefix="0" xfId="0"/>
    <xf numFmtId="0" fontId="4" fillId="0" borderId="1" applyAlignment="1" pivotButton="0" quotePrefix="0" xfId="0">
      <alignment vertical="center"/>
    </xf>
    <xf numFmtId="0" fontId="6" fillId="5" borderId="1" applyAlignment="1" pivotButton="0" quotePrefix="0" xfId="0">
      <alignment horizontal="center"/>
    </xf>
    <xf numFmtId="0" fontId="4" fillId="0" borderId="1" applyAlignment="1" pivotButton="0" quotePrefix="0" xfId="0">
      <alignment vertical="center" wrapText="1"/>
    </xf>
    <xf numFmtId="0" fontId="4" fillId="12" borderId="1" applyAlignment="1" pivotButton="0" quotePrefix="0" xfId="0">
      <alignment vertical="center" wrapText="1"/>
    </xf>
    <xf numFmtId="0" fontId="4" fillId="13" borderId="1" applyAlignment="1" pivotButton="0" quotePrefix="0" xfId="0">
      <alignment vertical="center" wrapText="1"/>
    </xf>
    <xf numFmtId="0" fontId="4" fillId="12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9" fontId="5" fillId="0" borderId="0" pivotButton="0" quotePrefix="0" xfId="0"/>
  </cellXfs>
  <cellStyles count="1">
    <cellStyle name="Normal" xfId="0" builtinId="0" hidden="0"/>
  </cellStyles>
  <dxfs count="6">
    <dxf>
      <font>
        <color rgb="00006100"/>
      </font>
      <fill>
        <patternFill patternType="solid">
          <fgColor rgb="00C6EFC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D9E2F3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70" customWidth="1" min="3" max="3"/>
    <col width="12" customWidth="1" min="4" max="4"/>
    <col width="12" customWidth="1" min="5" max="5"/>
    <col width="18" customWidth="1" min="6" max="6"/>
    <col width="15" customWidth="1" min="7" max="7"/>
    <col width="50" customWidth="1" min="8" max="8"/>
    <col width="24" customWidth="1" min="9" max="9"/>
    <col width="12" customWidth="1" min="10" max="10"/>
  </cols>
  <sheetData>
    <row r="1" ht="30" customHeight="1">
      <c r="A1" s="1" t="inlineStr">
        <is>
          <t>PET CARE ECOSYSTEM — TEAM TIMELINE (4 TUẦN: 05/10–30/10/2026, THỨ 2–THỨ 6, 2 BACKEND + 1 FRONTEND)</t>
        </is>
      </c>
    </row>
    <row r="2">
      <c r="A2" s="2" t="inlineStr">
        <is>
          <t>Thiết kế &amp; code lại từ đầu theo 01–05 + INDEX (v15) • 17 module tầng 1–2 • 58 use case • 12 tác vụ hệ thống • 10 FSM / 66 chuyển trạng thái • 128 rule BR • Không làm tầng 3</t>
        </is>
      </c>
    </row>
    <row r="4" ht="28" customHeight="1">
      <c r="A4" s="3" t="inlineStr">
        <is>
          <t>ID</t>
        </is>
      </c>
      <c r="B4" s="3" t="inlineStr">
        <is>
          <t>Giai đoạn</t>
        </is>
      </c>
      <c r="C4" s="3" t="inlineStr">
        <is>
          <t>Công việc</t>
        </is>
      </c>
      <c r="D4" s="3" t="inlineStr">
        <is>
          <t>Ngày bắt đầu</t>
        </is>
      </c>
      <c r="E4" s="3" t="inlineStr">
        <is>
          <t>Ngày kết thúc</t>
        </is>
      </c>
      <c r="F4" s="3" t="inlineStr">
        <is>
          <t>Người thực hiện</t>
        </is>
      </c>
      <c r="G4" s="3" t="inlineStr">
        <is>
          <t>Trạng thái</t>
        </is>
      </c>
      <c r="H4" s="3" t="inlineStr">
        <is>
          <t>Ghi chú</t>
        </is>
      </c>
      <c r="I4" s="3" t="inlineStr">
        <is>
          <t>Module</t>
        </is>
      </c>
      <c r="J4" s="3" t="inlineStr">
        <is>
          <t>Tiến độ (%)</t>
        </is>
      </c>
    </row>
    <row r="5">
      <c r="A5" s="4" t="n">
        <v>1</v>
      </c>
      <c r="B5" s="5" t="inlineStr">
        <is>
          <t>GD 0: Thiết kế &amp; Setup (05–06/10)</t>
        </is>
      </c>
      <c r="C5" s="5" t="inlineStr">
        <is>
          <t>Chốt kiến trúc &amp; tech stack mới (làm lại từ đầu, không dùng code/tài liệu cũ), quy ước code, ranh giới 17 module; review 01–05, duyệt rule 🆕 &amp; giá trị [CFG]</t>
        </is>
      </c>
      <c r="D5" s="6" t="n">
        <v>46300</v>
      </c>
      <c r="E5" s="6" t="n">
        <v>46300</v>
      </c>
      <c r="F5" s="7" t="inlineStr">
        <is>
          <t>Cả nhóm</t>
        </is>
      </c>
      <c r="G5" s="8" t="inlineStr">
        <is>
          <t>Chưa bắt đầu</t>
        </is>
      </c>
      <c r="H5" s="5" t="inlineStr">
        <is>
          <t>Rule 🆕: BR-SP-07, LH-12, TN-02, TN-07, BH-02, KB-06, TB-04→06; Care Task 🆕</t>
        </is>
      </c>
      <c r="I5" s="5" t="inlineStr">
        <is>
          <t>M00: Thiết kế</t>
        </is>
      </c>
      <c r="J5" s="9" t="n">
        <v>0</v>
      </c>
    </row>
    <row r="6">
      <c r="A6" s="4" t="n">
        <v>2</v>
      </c>
      <c r="B6" s="5" t="inlineStr">
        <is>
          <t>GD 0: Thiết kế &amp; Setup (05–06/10)</t>
        </is>
      </c>
      <c r="C6" s="5" t="inlineStr">
        <is>
          <t>Hợp đồng giữa module (để BE-1/BE-2 làm song song): danh sách sự kiện liên đối tượng theo Phụ lục 03 + interface dịch vụ chéo (mở Order cho Visit, thêm dòng thuốc/vaccine, xuất FEFO, kiểm tra mũi bắt buộc khi lưu trú…)</t>
        </is>
      </c>
      <c r="D6" s="6" t="n">
        <v>46300</v>
      </c>
      <c r="E6" s="6" t="n">
        <v>46300</v>
      </c>
      <c r="F6" s="7" t="inlineStr">
        <is>
          <t>Cả nhóm</t>
        </is>
      </c>
      <c r="G6" s="8" t="inlineStr">
        <is>
          <t>Chưa bắt đầu</t>
        </is>
      </c>
      <c r="H6" s="5" t="inlineStr">
        <is>
          <t>Mỗi bên code theo interface, dùng stub cho tới khi bên kia xong</t>
        </is>
      </c>
      <c r="I6" s="5" t="inlineStr">
        <is>
          <t>M00: Thiết kế</t>
        </is>
      </c>
      <c r="J6" s="9" t="n">
        <v>0</v>
      </c>
    </row>
    <row r="7">
      <c r="A7" s="4" t="n">
        <v>3</v>
      </c>
      <c r="B7" s="5" t="inlineStr">
        <is>
          <t>GD 0: Thiết kế &amp; Setup (05–06/10)</t>
        </is>
      </c>
      <c r="C7" s="5" t="inlineStr">
        <is>
          <t>Khởi tạo dự án BE mới + xác thực &amp; phân quyền 7 role, giới hạn theo chi nhánh, bảng sessions + khung ghi audit + đọc tham số [CFG]</t>
        </is>
      </c>
      <c r="D7" s="6" t="n">
        <v>46301</v>
      </c>
      <c r="E7" s="6" t="n">
        <v>46301</v>
      </c>
      <c r="F7" s="7" t="inlineStr">
        <is>
          <t>BE-1 (Backend)</t>
        </is>
      </c>
      <c r="G7" s="8" t="inlineStr">
        <is>
          <t>Chưa bắt đầu</t>
        </is>
      </c>
      <c r="H7" s="5" t="inlineStr">
        <is>
          <t>Nguyên tắc 8 (04); BR-TK-11, BR-QT-13, 15, 16</t>
        </is>
      </c>
      <c r="I7" s="5" t="inlineStr">
        <is>
          <t>M00: Setup BE</t>
        </is>
      </c>
      <c r="J7" s="9" t="n">
        <v>0</v>
      </c>
    </row>
    <row r="8">
      <c r="A8" s="4" t="n">
        <v>4</v>
      </c>
      <c r="B8" s="5" t="inlineStr">
        <is>
          <t>GD 0: Thiết kế &amp; Setup (05–06/10)</t>
        </is>
      </c>
      <c r="C8" s="5" t="inlineStr">
        <is>
          <t>Schema DB toàn bộ theo 05-erd §1–11 + seed dữ liệu nền (ADMIN, cấu hình mặc định, mẫu thông báo) + khung phát/nhận sự kiện trong 1 transaction</t>
        </is>
      </c>
      <c r="D8" s="6" t="n">
        <v>46301</v>
      </c>
      <c r="E8" s="6" t="n">
        <v>46301</v>
      </c>
      <c r="F8" s="7" t="inlineStr">
        <is>
          <t>BE-2 (Backend)</t>
        </is>
      </c>
      <c r="G8" s="8" t="inlineStr">
        <is>
          <t>Chưa bắt đầu</t>
        </is>
      </c>
      <c r="H8" s="5" t="inlineStr">
        <is>
          <t>Bắt đầu sau khi BE-1 có khung dự án (sáng 06/10); nguyên tắc 6 (04)</t>
        </is>
      </c>
      <c r="I8" s="5" t="inlineStr">
        <is>
          <t>M00: Setup BE</t>
        </is>
      </c>
      <c r="J8" s="9" t="n">
        <v>0</v>
      </c>
    </row>
    <row r="9">
      <c r="A9" s="4" t="n">
        <v>5</v>
      </c>
      <c r="B9" s="5" t="inlineStr">
        <is>
          <t>GD 0: Thiết kế &amp; Setup (05–06/10)</t>
        </is>
      </c>
      <c r="C9" s="5" t="inlineStr">
        <is>
          <t>Khởi tạo dự án FE mới: design system, router, chặn route theo role, layout Public / Khách / Nhân viên / Admin, lớp mock API theo hợp đồng</t>
        </is>
      </c>
      <c r="D9" s="6" t="n">
        <v>46301</v>
      </c>
      <c r="E9" s="6" t="n">
        <v>46301</v>
      </c>
      <c r="F9" s="7" t="inlineStr">
        <is>
          <t>FE-1 (Frontend)</t>
        </is>
      </c>
      <c r="G9" s="8" t="inlineStr">
        <is>
          <t>Chưa bắt đầu</t>
        </is>
      </c>
      <c r="H9" s="5" t="inlineStr">
        <is>
          <t>FE luôn làm trên mock trước, nối API thật khi BE xong</t>
        </is>
      </c>
      <c r="I9" s="5" t="inlineStr">
        <is>
          <t>M00: Setup FE</t>
        </is>
      </c>
      <c r="J9" s="9" t="n">
        <v>0</v>
      </c>
    </row>
    <row r="10">
      <c r="A10" s="10" t="n">
        <v>6</v>
      </c>
      <c r="B10" s="11" t="inlineStr">
        <is>
          <t>W1: Nền tảng (07–09/10)</t>
        </is>
      </c>
      <c r="C10" s="11" t="inlineStr">
        <is>
          <t>Tài khoản: Đăng ký + OTP (gửi, gửi lại, xác thực) + hàng đợi gửi email NotificationOutbox &amp; ST20 thử lại + ST02 dọn tài khoản PENDING</t>
        </is>
      </c>
      <c r="D10" s="12" t="n">
        <v>46302</v>
      </c>
      <c r="E10" s="12" t="n">
        <v>46302</v>
      </c>
      <c r="F10" s="13" t="inlineStr">
        <is>
          <t>BE-1 (Backend)</t>
        </is>
      </c>
      <c r="G10" s="8" t="inlineStr">
        <is>
          <t>Chưa bắt đầu</t>
        </is>
      </c>
      <c r="H10" s="11" t="inlineStr">
        <is>
          <t>BR-TK-01→08; BR-QT-14</t>
        </is>
      </c>
      <c r="I10" s="11" t="inlineStr">
        <is>
          <t>TK: Tài khoản &amp; xác thực</t>
        </is>
      </c>
      <c r="J10" s="14" t="n">
        <v>0</v>
      </c>
    </row>
    <row r="11">
      <c r="A11" s="10" t="n">
        <v>7</v>
      </c>
      <c r="B11" s="11" t="inlineStr">
        <is>
          <t>W1: Nền tảng (07–09/10)</t>
        </is>
      </c>
      <c r="C11" s="11" t="inlineStr">
        <is>
          <t>Tài khoản: Đăng nhập/đăng xuất + ST01 khóa tạm + Quên/Đổi mật khẩu + bắt đổi MK lần đầu</t>
        </is>
      </c>
      <c r="D11" s="12" t="n">
        <v>46303</v>
      </c>
      <c r="E11" s="12" t="n">
        <v>46303</v>
      </c>
      <c r="F11" s="13" t="inlineStr">
        <is>
          <t>BE-1 (Backend)</t>
        </is>
      </c>
      <c r="G11" s="8" t="inlineStr">
        <is>
          <t>Chưa bắt đầu</t>
        </is>
      </c>
      <c r="H11" s="11" t="inlineStr">
        <is>
          <t>BR-TK-09→14, 17</t>
        </is>
      </c>
      <c r="I11" s="11" t="inlineStr">
        <is>
          <t>TK: Tài khoản &amp; xác thực</t>
        </is>
      </c>
      <c r="J11" s="14" t="n">
        <v>0</v>
      </c>
    </row>
    <row r="12">
      <c r="A12" s="10" t="n">
        <v>8</v>
      </c>
      <c r="B12" s="11" t="inlineStr">
        <is>
          <t>W1: Nền tảng (07–09/10)</t>
        </is>
      </c>
      <c r="C12" s="11" t="inlineStr">
        <is>
          <t>Tài khoản: Hồ sơ cá nhân + sổ địa chỉ + hồ sơ công khai VET + liên kết hồ sơ khách có sẵn (OTP email hồ sơ)</t>
        </is>
      </c>
      <c r="D12" s="12" t="n">
        <v>46304</v>
      </c>
      <c r="E12" s="12" t="n">
        <v>46304</v>
      </c>
      <c r="F12" s="13" t="inlineStr">
        <is>
          <t>BE-1 (Backend)</t>
        </is>
      </c>
      <c r="G12" s="8" t="inlineStr">
        <is>
          <t>Chưa bắt đầu</t>
        </is>
      </c>
      <c r="H12" s="11" t="inlineStr">
        <is>
          <t>BR-TK-15, 18, 19, 20</t>
        </is>
      </c>
      <c r="I12" s="11" t="inlineStr">
        <is>
          <t>TK: Tài khoản &amp; xác thực</t>
        </is>
      </c>
      <c r="J12" s="14" t="n">
        <v>0</v>
      </c>
    </row>
    <row r="13">
      <c r="A13" s="10" t="n">
        <v>9</v>
      </c>
      <c r="B13" s="11" t="inlineStr">
        <is>
          <t>W1: Nền tảng (07–09/10)</t>
        </is>
      </c>
      <c r="C13" s="11" t="inlineStr">
        <is>
          <t>Danh mục: danh mục SP, sản phẩm (thuốc kê đơn, hạn dùng), dịch vụ (nhóm, loại Khám/Tiêm), loại chuồng, loại vaccine &amp; phác đồ</t>
        </is>
      </c>
      <c r="D13" s="12" t="n">
        <v>46302</v>
      </c>
      <c r="E13" s="12" t="n">
        <v>46302</v>
      </c>
      <c r="F13" s="13" t="inlineStr">
        <is>
          <t>BE-2 (Backend)</t>
        </is>
      </c>
      <c r="G13" s="8" t="inlineStr">
        <is>
          <t>Chưa bắt đầu</t>
        </is>
      </c>
      <c r="H13" s="11" t="inlineStr">
        <is>
          <t>BR-SP-01→07 — làm trước vì Lịch hẹn, Kho, Order, Tiêm đều dùng</t>
        </is>
      </c>
      <c r="I13" s="11" t="inlineStr">
        <is>
          <t>SP: Sản phẩm &amp; dịch vụ</t>
        </is>
      </c>
      <c r="J13" s="14" t="n">
        <v>0</v>
      </c>
    </row>
    <row r="14">
      <c r="A14" s="10" t="n">
        <v>10</v>
      </c>
      <c r="B14" s="11" t="inlineStr">
        <is>
          <t>W1: Nền tảng (07–09/10)</t>
        </is>
      </c>
      <c r="C14" s="11" t="inlineStr">
        <is>
          <t>Chi nhánh: tạo/kích hoạt, giờ mở cửa (2 khoảng/ngày, ngày hiệu lực), ngày nghỉ &amp; thu hẹp giờ (phát sự kiện hủy hàng loạt), cờ cấp cứu ngoài giờ</t>
        </is>
      </c>
      <c r="D14" s="12" t="n">
        <v>46303</v>
      </c>
      <c r="E14" s="12" t="n">
        <v>46303</v>
      </c>
      <c r="F14" s="13" t="inlineStr">
        <is>
          <t>BE-2 (Backend)</t>
        </is>
      </c>
      <c r="G14" s="8" t="inlineStr">
        <is>
          <t>Chưa bắt đầu</t>
        </is>
      </c>
      <c r="H14" s="11" t="inlineStr">
        <is>
          <t>BR-CN-01→05; BR-QT-04 (kiểm tra qua interface tài khoản)</t>
        </is>
      </c>
      <c r="I14" s="11" t="inlineStr">
        <is>
          <t>CN: Chi nhánh</t>
        </is>
      </c>
      <c r="J14" s="14" t="n">
        <v>0</v>
      </c>
    </row>
    <row r="15">
      <c r="A15" s="10" t="n">
        <v>11</v>
      </c>
      <c r="B15" s="11" t="inlineStr">
        <is>
          <t>W1: Nền tảng (07–09/10)</t>
        </is>
      </c>
      <c r="C15" s="11" t="inlineStr">
        <is>
          <t>Chi nhánh: bật/tắt dịch vụ tại chi nhánh + quota mặc định theo nhóm &amp; quota từng khung giờ</t>
        </is>
      </c>
      <c r="D15" s="12" t="n">
        <v>46304</v>
      </c>
      <c r="E15" s="12" t="n">
        <v>46304</v>
      </c>
      <c r="F15" s="13" t="inlineStr">
        <is>
          <t>BE-2 (Backend)</t>
        </is>
      </c>
      <c r="G15" s="8" t="inlineStr">
        <is>
          <t>Chưa bắt đầu</t>
        </is>
      </c>
      <c r="H15" s="11" t="inlineStr">
        <is>
          <t>BR-LH-01, 03; BR-SP-04</t>
        </is>
      </c>
      <c r="I15" s="11" t="inlineStr">
        <is>
          <t>CN: Chi nhánh</t>
        </is>
      </c>
      <c r="J15" s="14" t="n">
        <v>0</v>
      </c>
    </row>
    <row r="16">
      <c r="A16" s="10" t="n">
        <v>12</v>
      </c>
      <c r="B16" s="11" t="inlineStr">
        <is>
          <t>W1: Nền tảng (07–09/10)</t>
        </is>
      </c>
      <c r="C16" s="11" t="inlineStr">
        <is>
          <t>FE: Đăng ký (≥18 tuổi, điều khoản), OTP (đếm ngược 60s), Đăng nhập, Quên/Đổi mật khẩu, bắt đổi MK lần đầu</t>
        </is>
      </c>
      <c r="D16" s="12" t="n">
        <v>46302</v>
      </c>
      <c r="E16" s="12" t="n">
        <v>46303</v>
      </c>
      <c r="F16" s="13" t="inlineStr">
        <is>
          <t>FE-1 (Frontend)</t>
        </is>
      </c>
      <c r="G16" s="8" t="inlineStr">
        <is>
          <t>Chưa bắt đầu</t>
        </is>
      </c>
      <c r="H16" s="11" t="inlineStr">
        <is>
          <t>UC01–05; thông báo chung BR-TK-10</t>
        </is>
      </c>
      <c r="I16" s="11" t="inlineStr">
        <is>
          <t>TK (FE)</t>
        </is>
      </c>
      <c r="J16" s="14" t="n">
        <v>0</v>
      </c>
    </row>
    <row r="17">
      <c r="A17" s="10" t="n">
        <v>13</v>
      </c>
      <c r="B17" s="11" t="inlineStr">
        <is>
          <t>W1: Nền tảng (07–09/10)</t>
        </is>
      </c>
      <c r="C17" s="11" t="inlineStr">
        <is>
          <t>FE: Hồ sơ cá nhân + sổ địa chỉ + hồ sơ giới thiệu VET + màn hình liên kết hồ sơ</t>
        </is>
      </c>
      <c r="D17" s="12" t="n">
        <v>46304</v>
      </c>
      <c r="E17" s="12" t="n">
        <v>46304</v>
      </c>
      <c r="F17" s="13" t="inlineStr">
        <is>
          <t>FE-1 (Frontend)</t>
        </is>
      </c>
      <c r="G17" s="8" t="inlineStr">
        <is>
          <t>Chưa bắt đầu</t>
        </is>
      </c>
      <c r="H17" s="11" t="inlineStr">
        <is>
          <t>UC06, UC07; ẩn chức năng khi chưa liên kết (BR-TK-19)</t>
        </is>
      </c>
      <c r="I17" s="11" t="inlineStr">
        <is>
          <t>TK (FE)</t>
        </is>
      </c>
      <c r="J17" s="14" t="n">
        <v>0</v>
      </c>
    </row>
    <row r="18">
      <c r="A18" s="15" t="n">
        <v>14</v>
      </c>
      <c r="B18" s="16" t="inlineStr">
        <is>
          <t>W2: Dữ liệu nền &amp; Lịch hẹn (12–16/10)</t>
        </is>
      </c>
      <c r="C18" s="16" t="inlineStr">
        <is>
          <t>Quản trị: tài khoản nhân viên (tạo theo phân cấp, đổi chức vụ, điều chuyển, vô hiệu hóa/kích hoạt lại, sửa email/SĐT) + khóa/mở khóa</t>
        </is>
      </c>
      <c r="D18" s="17" t="n">
        <v>46307</v>
      </c>
      <c r="E18" s="17" t="n">
        <v>46308</v>
      </c>
      <c r="F18" s="18" t="inlineStr">
        <is>
          <t>BE-1 (Backend)</t>
        </is>
      </c>
      <c r="G18" s="8" t="inlineStr">
        <is>
          <t>Chưa bắt đầu</t>
        </is>
      </c>
      <c r="H18" s="16" t="inlineStr">
        <is>
          <t>BR-QT-01→12, BR-TK-16. Chặn vô hiệu hóa (Visit/ca thu ngân) qua interface, nối thật ở W4</t>
        </is>
      </c>
      <c r="I18" s="16" t="inlineStr">
        <is>
          <t>QT: Quản trị hệ thống</t>
        </is>
      </c>
      <c r="J18" s="19" t="n">
        <v>0</v>
      </c>
    </row>
    <row r="19">
      <c r="A19" s="15" t="n">
        <v>15</v>
      </c>
      <c r="B19" s="16" t="inlineStr">
        <is>
          <t>W2: Dữ liệu nền &amp; Lịch hẹn (12–16/10)</t>
        </is>
      </c>
      <c r="C19" s="16" t="inlineStr">
        <is>
          <t>Quản trị: API cấu hình tham số [CFG] (min–max) + mẫu thông báo (khôi phục mặc định) + xem audit + thông báo trong app</t>
        </is>
      </c>
      <c r="D19" s="17" t="n">
        <v>46309</v>
      </c>
      <c r="E19" s="17" t="n">
        <v>46309</v>
      </c>
      <c r="F19" s="18" t="inlineStr">
        <is>
          <t>BE-1 (Backend)</t>
        </is>
      </c>
      <c r="G19" s="8" t="inlineStr">
        <is>
          <t>Chưa bắt đầu</t>
        </is>
      </c>
      <c r="H19" s="16" t="inlineStr">
        <is>
          <t>BR-QT-13→16</t>
        </is>
      </c>
      <c r="I19" s="16" t="inlineStr">
        <is>
          <t>QT: Quản trị hệ thống</t>
        </is>
      </c>
      <c r="J19" s="19" t="n">
        <v>0</v>
      </c>
    </row>
    <row r="20">
      <c r="A20" s="15" t="n">
        <v>16</v>
      </c>
      <c r="B20" s="16" t="inlineStr">
        <is>
          <t>W2: Dữ liệu nền &amp; Lịch hẹn (12–16/10)</t>
        </is>
      </c>
      <c r="C20" s="16" t="inlineStr">
        <is>
          <t>Lịch hẹn: sinh khung 30 phút theo giờ mở cửa/ngày nghỉ, tính quota, đặt lịch (khách/lễ tân), đổi khung, hủy (cờ hủy muộn)</t>
        </is>
      </c>
      <c r="D20" s="17" t="n">
        <v>46310</v>
      </c>
      <c r="E20" s="17" t="n">
        <v>46311</v>
      </c>
      <c r="F20" s="18" t="inlineStr">
        <is>
          <t>BE-1 (Backend)</t>
        </is>
      </c>
      <c r="G20" s="8" t="inlineStr">
        <is>
          <t>Chưa bắt đầu</t>
        </is>
      </c>
      <c r="H20" s="16" t="inlineStr">
        <is>
          <t>BR-LH-01→07. Cần SP (07/10), CN (08–09/10), KH (12–13/10)</t>
        </is>
      </c>
      <c r="I20" s="16" t="inlineStr">
        <is>
          <t>LH: Lịch hẹn</t>
        </is>
      </c>
      <c r="J20" s="19" t="n">
        <v>0</v>
      </c>
    </row>
    <row r="21">
      <c r="A21" s="15" t="n">
        <v>17</v>
      </c>
      <c r="B21" s="16" t="inlineStr">
        <is>
          <t>W2: Dữ liệu nền &amp; Lịch hẹn (12–16/10)</t>
        </is>
      </c>
      <c r="C21" s="16" t="inlineStr">
        <is>
          <t>Khách hàng &amp; thú cưng: hồ sơ tại quầy, tra cứu, thú cưng (khóa loài), cân nặng, đánh dấu đã mất &amp; chuyển chủ (phát sự kiện), xóa thú chưa giao dịch, hồ sơ sức khỏe cho khách</t>
        </is>
      </c>
      <c r="D21" s="17" t="n">
        <v>46307</v>
      </c>
      <c r="E21" s="17" t="n">
        <v>46308</v>
      </c>
      <c r="F21" s="18" t="inlineStr">
        <is>
          <t>BE-2 (Backend)</t>
        </is>
      </c>
      <c r="G21" s="8" t="inlineStr">
        <is>
          <t>Chưa bắt đầu</t>
        </is>
      </c>
      <c r="H21" s="16" t="inlineStr">
        <is>
          <t>BR-KH-01→08</t>
        </is>
      </c>
      <c r="I21" s="16" t="inlineStr">
        <is>
          <t>KH: Khách hàng &amp; thú cưng</t>
        </is>
      </c>
      <c r="J21" s="19" t="n">
        <v>0</v>
      </c>
    </row>
    <row r="22">
      <c r="A22" s="15" t="n">
        <v>18</v>
      </c>
      <c r="B22" s="16" t="inlineStr">
        <is>
          <t>W2: Dữ liệu nền &amp; Lịch hẹn (12–16/10)</t>
        </is>
      </c>
      <c r="C22" s="16" t="inlineStr">
        <is>
          <t>Kho: nhà cung cấp, tồn theo lô + StockMovement, phiếu nhập kho, dịch vụ xuất FEFO / hoàn lô, điều chỉnh tồn, tồn tối thiểu, xem tồn</t>
        </is>
      </c>
      <c r="D22" s="17" t="n">
        <v>46309</v>
      </c>
      <c r="E22" s="17" t="n">
        <v>46310</v>
      </c>
      <c r="F22" s="18" t="inlineStr">
        <is>
          <t>BE-2 (Backend)</t>
        </is>
      </c>
      <c r="G22" s="8" t="inlineStr">
        <is>
          <t>Chưa bắt đầu</t>
        </is>
      </c>
      <c r="H22" s="16" t="inlineStr">
        <is>
          <t>BR-KO-01→07. Dịch vụ FEFO cho Thu ngân &amp; Tiêm</t>
        </is>
      </c>
      <c r="I22" s="16" t="inlineStr">
        <is>
          <t>KO: Kho</t>
        </is>
      </c>
      <c r="J22" s="19" t="n">
        <v>0</v>
      </c>
    </row>
    <row r="23">
      <c r="A23" s="15" t="n">
        <v>19</v>
      </c>
      <c r="B23" s="16" t="inlineStr">
        <is>
          <t>W2: Dữ liệu nền &amp; Lịch hẹn (12–16/10)</t>
        </is>
      </c>
      <c r="C23" s="16" t="inlineStr">
        <is>
          <t>Order lõi: FSM, dòng Order snapshot giá, quyền thêm/xóa dòng theo người thêm + API cho BE-1 (mở Order VISIT, thêm dòng thuốc/vaccine, chuyển PENDING/CANCELLED)</t>
        </is>
      </c>
      <c r="D23" s="17" t="n">
        <v>46311</v>
      </c>
      <c r="E23" s="17" t="n">
        <v>46311</v>
      </c>
      <c r="F23" s="18" t="inlineStr">
        <is>
          <t>BE-2 (Backend)</t>
        </is>
      </c>
      <c r="G23" s="8" t="inlineStr">
        <is>
          <t>Chưa bắt đầu</t>
        </is>
      </c>
      <c r="H23" s="16" t="inlineStr">
        <is>
          <t>BR-BH-01→03. Làm trước để BE-1 nối Visit/Khám ở W3</t>
        </is>
      </c>
      <c r="I23" s="16" t="inlineStr">
        <is>
          <t>BH: Bán hàng &amp; đơn hàng</t>
        </is>
      </c>
      <c r="J23" s="19" t="n">
        <v>0</v>
      </c>
    </row>
    <row r="24">
      <c r="A24" s="15" t="n">
        <v>20</v>
      </c>
      <c r="B24" s="16" t="inlineStr">
        <is>
          <t>W2: Dữ liệu nền &amp; Lịch hẹn (12–16/10)</t>
        </is>
      </c>
      <c r="C24" s="16" t="inlineStr">
        <is>
          <t>FE: Quản lý chi nhánh + giờ mở cửa + ngày nghỉ + dịch vụ tại chi nhánh + quota</t>
        </is>
      </c>
      <c r="D24" s="17" t="n">
        <v>46307</v>
      </c>
      <c r="E24" s="17" t="n">
        <v>46307</v>
      </c>
      <c r="F24" s="18" t="inlineStr">
        <is>
          <t>FE-1 (Frontend)</t>
        </is>
      </c>
      <c r="G24" s="8" t="inlineStr">
        <is>
          <t>Chưa bắt đầu</t>
        </is>
      </c>
      <c r="H24" s="16" t="inlineStr">
        <is>
          <t>UC12, UC14, UC33, UC42</t>
        </is>
      </c>
      <c r="I24" s="16" t="inlineStr">
        <is>
          <t>CN (FE)</t>
        </is>
      </c>
      <c r="J24" s="19" t="n">
        <v>0</v>
      </c>
    </row>
    <row r="25">
      <c r="A25" s="15" t="n">
        <v>21</v>
      </c>
      <c r="B25" s="16" t="inlineStr">
        <is>
          <t>W2: Dữ liệu nền &amp; Lịch hẹn (12–16/10)</t>
        </is>
      </c>
      <c r="C25" s="16" t="inlineStr">
        <is>
          <t>FE: Quản lý danh mục SP/DV, loại chuồng, loại vaccine &amp; phác đồ</t>
        </is>
      </c>
      <c r="D25" s="17" t="n">
        <v>46308</v>
      </c>
      <c r="E25" s="17" t="n">
        <v>46308</v>
      </c>
      <c r="F25" s="18" t="inlineStr">
        <is>
          <t>FE-1 (Frontend)</t>
        </is>
      </c>
      <c r="G25" s="8" t="inlineStr">
        <is>
          <t>Chưa bắt đầu</t>
        </is>
      </c>
      <c r="H25" s="16" t="inlineStr">
        <is>
          <t>UC28–31</t>
        </is>
      </c>
      <c r="I25" s="16" t="inlineStr">
        <is>
          <t>SP (FE)</t>
        </is>
      </c>
      <c r="J25" s="19" t="n">
        <v>0</v>
      </c>
    </row>
    <row r="26">
      <c r="A26" s="15" t="n">
        <v>22</v>
      </c>
      <c r="B26" s="16" t="inlineStr">
        <is>
          <t>W2: Dữ liệu nền &amp; Lịch hẹn (12–16/10)</t>
        </is>
      </c>
      <c r="C26" s="16" t="inlineStr">
        <is>
          <t>FE Admin: tài khoản nhân viên, khóa/mở khóa, cấu hình tham số, mẫu thông báo, audit log</t>
        </is>
      </c>
      <c r="D26" s="17" t="n">
        <v>46309</v>
      </c>
      <c r="E26" s="17" t="n">
        <v>46309</v>
      </c>
      <c r="F26" s="18" t="inlineStr">
        <is>
          <t>FE-1 (Frontend)</t>
        </is>
      </c>
      <c r="G26" s="8" t="inlineStr">
        <is>
          <t>Chưa bắt đầu</t>
        </is>
      </c>
      <c r="H26" s="16" t="inlineStr">
        <is>
          <t>UC08–11</t>
        </is>
      </c>
      <c r="I26" s="16" t="inlineStr">
        <is>
          <t>QT (FE)</t>
        </is>
      </c>
      <c r="J26" s="19" t="n">
        <v>0</v>
      </c>
    </row>
    <row r="27">
      <c r="A27" s="15" t="n">
        <v>23</v>
      </c>
      <c r="B27" s="16" t="inlineStr">
        <is>
          <t>W2: Dữ liệu nền &amp; Lịch hẹn (12–16/10)</t>
        </is>
      </c>
      <c r="C27" s="16" t="inlineStr">
        <is>
          <t>FE: Hồ sơ khách tại quầy, tra cứu khách &amp; thú, quản lý thú cưng (khách + lễ tân), hồ sơ sức khỏe, chuyển chủ</t>
        </is>
      </c>
      <c r="D27" s="17" t="n">
        <v>46310</v>
      </c>
      <c r="E27" s="17" t="n">
        <v>46310</v>
      </c>
      <c r="F27" s="18" t="inlineStr">
        <is>
          <t>FE-1 (Frontend)</t>
        </is>
      </c>
      <c r="G27" s="8" t="inlineStr">
        <is>
          <t>Chưa bắt đầu</t>
        </is>
      </c>
      <c r="H27" s="16" t="inlineStr">
        <is>
          <t>UC22–26</t>
        </is>
      </c>
      <c r="I27" s="16" t="inlineStr">
        <is>
          <t>KH (FE)</t>
        </is>
      </c>
      <c r="J27" s="19" t="n">
        <v>0</v>
      </c>
    </row>
    <row r="28">
      <c r="A28" s="15" t="n">
        <v>24</v>
      </c>
      <c r="B28" s="16" t="inlineStr">
        <is>
          <t>W2: Dữ liệu nền &amp; Lịch hẹn (12–16/10)</t>
        </is>
      </c>
      <c r="C28" s="16" t="inlineStr">
        <is>
          <t>FE: Kho: nhà cung cấp, phiếu nhập, tồn theo lô/hạn dùng, điều chỉnh tồn, tồn tối thiểu</t>
        </is>
      </c>
      <c r="D28" s="17" t="n">
        <v>46311</v>
      </c>
      <c r="E28" s="17" t="n">
        <v>46311</v>
      </c>
      <c r="F28" s="18" t="inlineStr">
        <is>
          <t>FE-1 (Frontend)</t>
        </is>
      </c>
      <c r="G28" s="8" t="inlineStr">
        <is>
          <t>Chưa bắt đầu</t>
        </is>
      </c>
      <c r="H28" s="16" t="inlineStr">
        <is>
          <t>UC73–76</t>
        </is>
      </c>
      <c r="I28" s="16" t="inlineStr">
        <is>
          <t>KO (FE)</t>
        </is>
      </c>
      <c r="J28" s="19" t="n">
        <v>0</v>
      </c>
    </row>
    <row r="29">
      <c r="A29" s="20" t="n">
        <v>25</v>
      </c>
      <c r="B29" s="21" t="inlineStr">
        <is>
          <t>W3: Luồng khám &amp; bán hàng (19–23/10)</t>
        </is>
      </c>
      <c r="C29" s="21" t="inlineStr">
        <is>
          <t>Lịch hẹn: ST05 NO_SHOW, hạn chế đặt online (gỡ sớm), ST03 nhắc lịch, nhận sự kiện hủy hàng loạt (ngày nghỉ, thú mất, chuyển chủ)</t>
        </is>
      </c>
      <c r="D29" s="22" t="n">
        <v>46314</v>
      </c>
      <c r="E29" s="22" t="n">
        <v>46314</v>
      </c>
      <c r="F29" s="23" t="inlineStr">
        <is>
          <t>BE-1 (Backend)</t>
        </is>
      </c>
      <c r="G29" s="8" t="inlineStr">
        <is>
          <t>Chưa bắt đầu</t>
        </is>
      </c>
      <c r="H29" s="21" t="inlineStr">
        <is>
          <t>BR-LH-08→12</t>
        </is>
      </c>
      <c r="I29" s="21" t="inlineStr">
        <is>
          <t>LH: Lịch hẹn</t>
        </is>
      </c>
      <c r="J29" s="24" t="n">
        <v>0</v>
      </c>
    </row>
    <row r="30">
      <c r="A30" s="20" t="n">
        <v>26</v>
      </c>
      <c r="B30" s="21" t="inlineStr">
        <is>
          <t>W3: Luồng khám &amp; bán hàng (19–23/10)</t>
        </is>
      </c>
      <c r="C30" s="21" t="inlineStr">
        <is>
          <t>Tiếp nhận: Visit (check-in, walk-in, cấp cứu ngoài giờ), thứ tự hàng đợi, gán/gán lại, gọi lượt, hủy lượt khách bỏ về</t>
        </is>
      </c>
      <c r="D30" s="22" t="n">
        <v>46315</v>
      </c>
      <c r="E30" s="22" t="n">
        <v>46316</v>
      </c>
      <c r="F30" s="23" t="inlineStr">
        <is>
          <t>BE-1 (Backend)</t>
        </is>
      </c>
      <c r="G30" s="8" t="inlineStr">
        <is>
          <t>Chưa bắt đầu</t>
        </is>
      </c>
      <c r="H30" s="21" t="inlineStr">
        <is>
          <t>BR-TN-01→09. Gọi API Order lõi của BE-2 (xong 16/10)</t>
        </is>
      </c>
      <c r="I30" s="21" t="inlineStr">
        <is>
          <t>TN: Tiếp nhận &amp; hàng đợi</t>
        </is>
      </c>
      <c r="J30" s="24" t="n">
        <v>0</v>
      </c>
    </row>
    <row r="31">
      <c r="A31" s="20" t="n">
        <v>27</v>
      </c>
      <c r="B31" s="21" t="inlineStr">
        <is>
          <t>W3: Luồng khám &amp; bán hàng (19–23/10)</t>
        </is>
      </c>
      <c r="C31" s="21" t="inlineStr">
        <is>
          <t>Khám: bệnh án, chẩn đoán, ghi chú nội bộ, hoàn tất lượt (điều kiện theo loại Khám/Tiêm/Thẩm mỹ), khóa bệnh án + bản bổ sung</t>
        </is>
      </c>
      <c r="D31" s="22" t="n">
        <v>46317</v>
      </c>
      <c r="E31" s="22" t="n">
        <v>46317</v>
      </c>
      <c r="F31" s="23" t="inlineStr">
        <is>
          <t>BE-1 (Backend)</t>
        </is>
      </c>
      <c r="G31" s="8" t="inlineStr">
        <is>
          <t>Chưa bắt đầu</t>
        </is>
      </c>
      <c r="H31" s="21" t="inlineStr">
        <is>
          <t>BR-KB-01, 02, BR-SP-06; dịch vụ thẩm mỹ của CARETAKER (UC52)</t>
        </is>
      </c>
      <c r="I31" s="21" t="inlineStr">
        <is>
          <t>KB: Khám &amp; điều trị</t>
        </is>
      </c>
      <c r="J31" s="24" t="n">
        <v>0</v>
      </c>
    </row>
    <row r="32">
      <c r="A32" s="20" t="n">
        <v>28</v>
      </c>
      <c r="B32" s="21" t="inlineStr">
        <is>
          <t>W3: Luồng khám &amp; bán hàng (19–23/10)</t>
        </is>
      </c>
      <c r="C32" s="21" t="inlineStr">
        <is>
          <t>Tiêm chủng: ghi mũi theo phác đồ (trừ kho FEFO, dòng Order vaccine, ngày tái chủng), xóa mũi ghi nhầm + interface 'đủ mũi bắt buộc' cho Lưu trú</t>
        </is>
      </c>
      <c r="D32" s="22" t="n">
        <v>46318</v>
      </c>
      <c r="E32" s="22" t="n">
        <v>46318</v>
      </c>
      <c r="F32" s="23" t="inlineStr">
        <is>
          <t>BE-1 (Backend)</t>
        </is>
      </c>
      <c r="G32" s="8" t="inlineStr">
        <is>
          <t>Chưa bắt đầu</t>
        </is>
      </c>
      <c r="H32" s="21" t="inlineStr">
        <is>
          <t>BR-KB-04, BR-SP-07; nguyên tắc 7, 9. Cần Kho (15/10), Order lõi (16/10)</t>
        </is>
      </c>
      <c r="I32" s="21" t="inlineStr">
        <is>
          <t>KB: Khám &amp; điều trị</t>
        </is>
      </c>
      <c r="J32" s="24" t="n">
        <v>0</v>
      </c>
    </row>
    <row r="33">
      <c r="A33" s="20" t="n">
        <v>29</v>
      </c>
      <c r="B33" s="21" t="inlineStr">
        <is>
          <t>W3: Luồng khám &amp; bán hàng (19–23/10)</t>
        </is>
      </c>
      <c r="C33" s="21" t="inlineStr">
        <is>
          <t>Order bán lẻ tại quầy: tạo, thêm hàng (cảnh báo thiếu tồn, chặn thuốc kê đơn), chốt, hủy; BRANCH_MANAGER hủy Order PENDING</t>
        </is>
      </c>
      <c r="D33" s="22" t="n">
        <v>46314</v>
      </c>
      <c r="E33" s="22" t="n">
        <v>46314</v>
      </c>
      <c r="F33" s="23" t="inlineStr">
        <is>
          <t>BE-2 (Backend)</t>
        </is>
      </c>
      <c r="G33" s="8" t="inlineStr">
        <is>
          <t>Chưa bắt đầu</t>
        </is>
      </c>
      <c r="H33" s="21" t="inlineStr">
        <is>
          <t>BR-BH-04, 05, 06</t>
        </is>
      </c>
      <c r="I33" s="21" t="inlineStr">
        <is>
          <t>BH: Bán hàng &amp; đơn hàng</t>
        </is>
      </c>
      <c r="J33" s="24" t="n">
        <v>0</v>
      </c>
    </row>
    <row r="34">
      <c r="A34" s="20" t="n">
        <v>30</v>
      </c>
      <c r="B34" s="21" t="inlineStr">
        <is>
          <t>W3: Luồng khám &amp; bán hàng (19–23/10)</t>
        </is>
      </c>
      <c r="C34" s="21" t="inlineStr">
        <is>
          <t>Thu ngân: ca thường/ngoài giờ, thu tiền gộp + trừ kho FEFO, đối soát, ST13 tự chốt ca &amp; cảnh báo Order PENDING quá hạn</t>
        </is>
      </c>
      <c r="D34" s="22" t="n">
        <v>46315</v>
      </c>
      <c r="E34" s="22" t="n">
        <v>46316</v>
      </c>
      <c r="F34" s="23" t="inlineStr">
        <is>
          <t>BE-2 (Backend)</t>
        </is>
      </c>
      <c r="G34" s="8" t="inlineStr">
        <is>
          <t>Chưa bắt đầu</t>
        </is>
      </c>
      <c r="H34" s="21" t="inlineStr">
        <is>
          <t>BR-TG-01→05, BR-CN-05</t>
        </is>
      </c>
      <c r="I34" s="21" t="inlineStr">
        <is>
          <t>TG: Thu ngân</t>
        </is>
      </c>
      <c r="J34" s="24" t="n">
        <v>0</v>
      </c>
    </row>
    <row r="35">
      <c r="A35" s="20" t="n">
        <v>31</v>
      </c>
      <c r="B35" s="21" t="inlineStr">
        <is>
          <t>W3: Luồng khám &amp; bán hàng (19–23/10)</t>
        </is>
      </c>
      <c r="C35" s="21" t="inlineStr">
        <is>
          <t>Lưu trú: chuồng (tạo, bảo trì), đặt chỗ theo loại chuồng (sức chứa theo đêm, snapshot giá), gia hạn, hủy, ST05 NO_SHOW</t>
        </is>
      </c>
      <c r="D35" s="22" t="n">
        <v>46317</v>
      </c>
      <c r="E35" s="22" t="n">
        <v>46317</v>
      </c>
      <c r="F35" s="23" t="inlineStr">
        <is>
          <t>BE-2 (Backend)</t>
        </is>
      </c>
      <c r="G35" s="8" t="inlineStr">
        <is>
          <t>Chưa bắt đầu</t>
        </is>
      </c>
      <c r="H35" s="21" t="inlineStr">
        <is>
          <t>BR-LT-01→07</t>
        </is>
      </c>
      <c r="I35" s="21" t="inlineStr">
        <is>
          <t>LT: Lưu trú</t>
        </is>
      </c>
      <c r="J35" s="24" t="n">
        <v>0</v>
      </c>
    </row>
    <row r="36">
      <c r="A36" s="20" t="n">
        <v>32</v>
      </c>
      <c r="B36" s="21" t="inlineStr">
        <is>
          <t>W3: Luồng khám &amp; bán hàng (19–23/10)</t>
        </is>
      </c>
      <c r="C36" s="21" t="inlineStr">
        <is>
          <t>Thông tin công khai + Bài viết + Feedback: dịch vụ, chi nhánh, bác sĩ, sản phẩm còn hàng theo chi nhánh, nội dung trang, chuyên mục/bài viết, feedback</t>
        </is>
      </c>
      <c r="D36" s="22" t="n">
        <v>46318</v>
      </c>
      <c r="E36" s="22" t="n">
        <v>46318</v>
      </c>
      <c r="F36" s="23" t="inlineStr">
        <is>
          <t>BE-2 (Backend)</t>
        </is>
      </c>
      <c r="G36" s="8" t="inlineStr">
        <is>
          <t>Chưa bắt đầu</t>
        </is>
      </c>
      <c r="H36" s="21" t="inlineStr">
        <is>
          <t>BR-CK-01→03, BR-BV-01→04, BR-DG-01→04</t>
        </is>
      </c>
      <c r="I36" s="21" t="inlineStr">
        <is>
          <t>CK/BV/DG</t>
        </is>
      </c>
      <c r="J36" s="24" t="n">
        <v>0</v>
      </c>
    </row>
    <row r="37">
      <c r="A37" s="20" t="n">
        <v>33</v>
      </c>
      <c r="B37" s="21" t="inlineStr">
        <is>
          <t>W3: Luồng khám &amp; bán hàng (19–23/10)</t>
        </is>
      </c>
      <c r="C37" s="21" t="inlineStr">
        <is>
          <t>FE: Đặt lịch (chọn khung trống), lịch hẹn của tôi, lễ tân đặt hộ / đổi / hủy</t>
        </is>
      </c>
      <c r="D37" s="22" t="n">
        <v>46314</v>
      </c>
      <c r="E37" s="22" t="n">
        <v>46314</v>
      </c>
      <c r="F37" s="23" t="inlineStr">
        <is>
          <t>FE-1 (Frontend)</t>
        </is>
      </c>
      <c r="G37" s="8" t="inlineStr">
        <is>
          <t>Chưa bắt đầu</t>
        </is>
      </c>
      <c r="H37" s="21" t="inlineStr">
        <is>
          <t>UC39, UC40</t>
        </is>
      </c>
      <c r="I37" s="21" t="inlineStr">
        <is>
          <t>LH (FE)</t>
        </is>
      </c>
      <c r="J37" s="24" t="n">
        <v>0</v>
      </c>
    </row>
    <row r="38">
      <c r="A38" s="20" t="n">
        <v>34</v>
      </c>
      <c r="B38" s="21" t="inlineStr">
        <is>
          <t>W3: Luồng khám &amp; bán hàng (19–23/10)</t>
        </is>
      </c>
      <c r="C38" s="21" t="inlineStr">
        <is>
          <t>FE: Trung tâm thông báo &amp; cài đặt nhận thông báo + bán lẻ tại quầy (POS)</t>
        </is>
      </c>
      <c r="D38" s="22" t="n">
        <v>46315</v>
      </c>
      <c r="E38" s="22" t="n">
        <v>46315</v>
      </c>
      <c r="F38" s="23" t="inlineStr">
        <is>
          <t>FE-1 (Frontend)</t>
        </is>
      </c>
      <c r="G38" s="8" t="inlineStr">
        <is>
          <t>Chưa bắt đầu</t>
        </is>
      </c>
      <c r="H38" s="21" t="inlineStr">
        <is>
          <t>UC88, UC66, UC67</t>
        </is>
      </c>
      <c r="I38" s="21" t="inlineStr">
        <is>
          <t>TB/BH (FE)</t>
        </is>
      </c>
      <c r="J38" s="24" t="n">
        <v>0</v>
      </c>
    </row>
    <row r="39">
      <c r="A39" s="20" t="n">
        <v>35</v>
      </c>
      <c r="B39" s="21" t="inlineStr">
        <is>
          <t>W3: Luồng khám &amp; bán hàng (19–23/10)</t>
        </is>
      </c>
      <c r="C39" s="21" t="inlineStr">
        <is>
          <t>FE: Thu tiền (gộp Order), mở/chốt ca, đối soát ca</t>
        </is>
      </c>
      <c r="D39" s="22" t="n">
        <v>46316</v>
      </c>
      <c r="E39" s="22" t="n">
        <v>46316</v>
      </c>
      <c r="F39" s="23" t="inlineStr">
        <is>
          <t>FE-1 (Frontend)</t>
        </is>
      </c>
      <c r="G39" s="8" t="inlineStr">
        <is>
          <t>Chưa bắt đầu</t>
        </is>
      </c>
      <c r="H39" s="21" t="inlineStr">
        <is>
          <t>UC70–72</t>
        </is>
      </c>
      <c r="I39" s="21" t="inlineStr">
        <is>
          <t>TG (FE)</t>
        </is>
      </c>
      <c r="J39" s="24" t="n">
        <v>0</v>
      </c>
    </row>
    <row r="40">
      <c r="A40" s="20" t="n">
        <v>36</v>
      </c>
      <c r="B40" s="21" t="inlineStr">
        <is>
          <t>W3: Luồng khám &amp; bán hàng (19–23/10)</t>
        </is>
      </c>
      <c r="C40" s="21" t="inlineStr">
        <is>
          <t>FE: Tiếp nhận &amp; hàng đợi (lễ tân), hàng đợi của tôi &amp; gọi lượt (VET/CARETAKER), cấp cứu</t>
        </is>
      </c>
      <c r="D40" s="22" t="n">
        <v>46317</v>
      </c>
      <c r="E40" s="22" t="n">
        <v>46317</v>
      </c>
      <c r="F40" s="23" t="inlineStr">
        <is>
          <t>FE-1 (Frontend)</t>
        </is>
      </c>
      <c r="G40" s="8" t="inlineStr">
        <is>
          <t>Chưa bắt đầu</t>
        </is>
      </c>
      <c r="H40" s="21" t="inlineStr">
        <is>
          <t>UC44–47</t>
        </is>
      </c>
      <c r="I40" s="21" t="inlineStr">
        <is>
          <t>TN (FE)</t>
        </is>
      </c>
      <c r="J40" s="24" t="n">
        <v>0</v>
      </c>
    </row>
    <row r="41">
      <c r="A41" s="20" t="n">
        <v>37</v>
      </c>
      <c r="B41" s="21" t="inlineStr">
        <is>
          <t>W3: Luồng khám &amp; bán hàng (19–23/10)</t>
        </is>
      </c>
      <c r="C41" s="21" t="inlineStr">
        <is>
          <t>FE: Màn hình khám VET (bệnh án, chẩn đoán, tiêm chủng, hoàn tất) + màn hình thẩm mỹ CARETAKER + xem bệnh án</t>
        </is>
      </c>
      <c r="D41" s="22" t="n">
        <v>46318</v>
      </c>
      <c r="E41" s="22" t="n">
        <v>46318</v>
      </c>
      <c r="F41" s="23" t="inlineStr">
        <is>
          <t>FE-1 (Frontend)</t>
        </is>
      </c>
      <c r="G41" s="8" t="inlineStr">
        <is>
          <t>Chưa bắt đầu</t>
        </is>
      </c>
      <c r="H41" s="21" t="inlineStr">
        <is>
          <t>UC48, UC49, UC52, UC53</t>
        </is>
      </c>
      <c r="I41" s="21" t="inlineStr">
        <is>
          <t>KB (FE)</t>
        </is>
      </c>
      <c r="J41" s="24" t="n">
        <v>0</v>
      </c>
    </row>
    <row r="42">
      <c r="A42" s="25" t="n">
        <v>38</v>
      </c>
      <c r="B42" s="26" t="inlineStr">
        <is>
          <t>W4: Lưu trú, CSKH, Báo cáo (26–29/10)</t>
        </is>
      </c>
      <c r="C42" s="26" t="inlineStr">
        <is>
          <t>Khám: kê đơn (thiếu tồn → giảm SL hoặc mua ngoài, sinh dòng Order thuốc), hẹn tái khám</t>
        </is>
      </c>
      <c r="D42" s="27" t="n">
        <v>46321</v>
      </c>
      <c r="E42" s="27" t="n">
        <v>46321</v>
      </c>
      <c r="F42" s="28" t="inlineStr">
        <is>
          <t>BE-1 (Backend)</t>
        </is>
      </c>
      <c r="G42" s="8" t="inlineStr">
        <is>
          <t>Chưa bắt đầu</t>
        </is>
      </c>
      <c r="H42" s="26" t="inlineStr">
        <is>
          <t>BR-KB-03, 06</t>
        </is>
      </c>
      <c r="I42" s="26" t="inlineStr">
        <is>
          <t>KB: Khám &amp; điều trị</t>
        </is>
      </c>
      <c r="J42" s="29" t="n">
        <v>0</v>
      </c>
    </row>
    <row r="43">
      <c r="A43" s="25" t="n">
        <v>39</v>
      </c>
      <c r="B43" s="26" t="inlineStr">
        <is>
          <t>W4: Lưu trú, CSKH, Báo cáo (26–29/10)</t>
        </is>
      </c>
      <c r="C43" s="26" t="inlineStr">
        <is>
          <t>Care Task + ST04 nhắc tái chủng/tái khám + ST18 sinh task + ST19 hủy khi thú mất + hủy nhắc khi đã tiêm lại / đặt lịch khám</t>
        </is>
      </c>
      <c r="D43" s="27" t="n">
        <v>46322</v>
      </c>
      <c r="E43" s="27" t="n">
        <v>46322</v>
      </c>
      <c r="F43" s="28" t="inlineStr">
        <is>
          <t>BE-1 (Backend)</t>
        </is>
      </c>
      <c r="G43" s="8" t="inlineStr">
        <is>
          <t>Chưa bắt đầu</t>
        </is>
      </c>
      <c r="H43" s="26" t="inlineStr">
        <is>
          <t>BR-TB-01→06, BR-LT-10. Nhận sự kiện OVERDUE của BE-2 theo hợp đồng</t>
        </is>
      </c>
      <c r="I43" s="26" t="inlineStr">
        <is>
          <t>TB: CSKH &amp; thông báo</t>
        </is>
      </c>
      <c r="J43" s="29" t="n">
        <v>0</v>
      </c>
    </row>
    <row r="44">
      <c r="A44" s="25" t="n">
        <v>40</v>
      </c>
      <c r="B44" s="26" t="inlineStr">
        <is>
          <t>W4: Lưu trú, CSKH, Báo cáo (26–29/10)</t>
        </is>
      </c>
      <c r="C44" s="26" t="inlineStr">
        <is>
          <t>Nối thật các interface chéo (chặn vô hiệu hóa, khóa → gán lại Visit) + integration test FSM: Tài khoản, Lịch hẹn, Visit, Care Task (đủ cặp hợp lệ/không hợp lệ)</t>
        </is>
      </c>
      <c r="D44" s="27" t="n">
        <v>46323</v>
      </c>
      <c r="E44" s="27" t="n">
        <v>46323</v>
      </c>
      <c r="F44" s="28" t="inlineStr">
        <is>
          <t>BE-1 (Backend)</t>
        </is>
      </c>
      <c r="G44" s="8" t="inlineStr">
        <is>
          <t>Chưa bắt đầu</t>
        </is>
      </c>
      <c r="H44" s="26" t="inlineStr">
        <is>
          <t>Bảng chuyển trạng thái 03-state-machines</t>
        </is>
      </c>
      <c r="I44" s="26" t="inlineStr">
        <is>
          <t>M00: Tests</t>
        </is>
      </c>
      <c r="J44" s="29" t="n">
        <v>0</v>
      </c>
    </row>
    <row r="45">
      <c r="A45" s="25" t="n">
        <v>41</v>
      </c>
      <c r="B45" s="26" t="inlineStr">
        <is>
          <t>W4: Lưu trú, CSKH, Báo cáo (26–29/10)</t>
        </is>
      </c>
      <c r="C45" s="26" t="inlineStr">
        <is>
          <t>E2E luồng chính: đặt lịch → tiếp nhận → khám/tiêm → Order → thu tiền → nhắc tái chủng + fix bug</t>
        </is>
      </c>
      <c r="D45" s="27" t="n">
        <v>46324</v>
      </c>
      <c r="E45" s="27" t="n">
        <v>46324</v>
      </c>
      <c r="F45" s="28" t="inlineStr">
        <is>
          <t>BE-1 (Backend)</t>
        </is>
      </c>
      <c r="G45" s="8" t="inlineStr">
        <is>
          <t>Chưa bắt đầu</t>
        </is>
      </c>
      <c r="H45" s="26" t="inlineStr">
        <is>
          <t>Phụ lục chuỗi tác động (03)</t>
        </is>
      </c>
      <c r="I45" s="26" t="inlineStr">
        <is>
          <t>M00: Tests</t>
        </is>
      </c>
      <c r="J45" s="29" t="n">
        <v>0</v>
      </c>
    </row>
    <row r="46">
      <c r="A46" s="25" t="n">
        <v>42</v>
      </c>
      <c r="B46" s="26" t="inlineStr">
        <is>
          <t>W4: Lưu trú, CSKH, Báo cáo (26–29/10)</t>
        </is>
      </c>
      <c r="C46" s="26" t="inlineStr">
        <is>
          <t>Lưu trú: nhận thú (kiểm tra mũi bắt buộc qua interface BE-1, chuồng đúng loại, cân nặng), nhật ký chăm sóc + bổ sung, báo bất thường</t>
        </is>
      </c>
      <c r="D46" s="27" t="n">
        <v>46321</v>
      </c>
      <c r="E46" s="27" t="n">
        <v>46321</v>
      </c>
      <c r="F46" s="28" t="inlineStr">
        <is>
          <t>BE-2 (Backend)</t>
        </is>
      </c>
      <c r="G46" s="8" t="inlineStr">
        <is>
          <t>Chưa bắt đầu</t>
        </is>
      </c>
      <c r="H46" s="26" t="inlineStr">
        <is>
          <t>BR-LT-05, 08, 11, 12</t>
        </is>
      </c>
      <c r="I46" s="26" t="inlineStr">
        <is>
          <t>LT: Lưu trú</t>
        </is>
      </c>
      <c r="J46" s="29" t="n">
        <v>0</v>
      </c>
    </row>
    <row r="47">
      <c r="A47" s="25" t="n">
        <v>43</v>
      </c>
      <c r="B47" s="26" t="inlineStr">
        <is>
          <t>W4: Lưu trú, CSKH, Báo cáo (26–29/10)</t>
        </is>
      </c>
      <c r="C47" s="26" t="inlineStr">
        <is>
          <t>Lưu trú: bắt đầu trả thú → Order BOARDING, giao thú khi PAID, hủy phiên trả thú, thú mất, ST15 OVERDUE (phát sự kiện cho Care Task)</t>
        </is>
      </c>
      <c r="D47" s="27" t="n">
        <v>46322</v>
      </c>
      <c r="E47" s="27" t="n">
        <v>46322</v>
      </c>
      <c r="F47" s="28" t="inlineStr">
        <is>
          <t>BE-2 (Backend)</t>
        </is>
      </c>
      <c r="G47" s="8" t="inlineStr">
        <is>
          <t>Chưa bắt đầu</t>
        </is>
      </c>
      <c r="H47" s="26" t="inlineStr">
        <is>
          <t>BR-LT-09, 10, 12</t>
        </is>
      </c>
      <c r="I47" s="26" t="inlineStr">
        <is>
          <t>LT: Lưu trú</t>
        </is>
      </c>
      <c r="J47" s="29" t="n">
        <v>0</v>
      </c>
    </row>
    <row r="48">
      <c r="A48" s="25" t="n">
        <v>44</v>
      </c>
      <c r="B48" s="26" t="inlineStr">
        <is>
          <t>W4: Lưu trú, CSKH, Báo cáo (26–29/10)</t>
        </is>
      </c>
      <c r="C48" s="26" t="inlineStr">
        <is>
          <t>Báo cáo chi nhánh/toàn chuỗi (doanh thu, thất thu, tỷ lệ quay lại tái chủng…) + ST08 cảnh báo tồn dưới ngưỡng, lô sắp/đã hết hạn</t>
        </is>
      </c>
      <c r="D48" s="27" t="n">
        <v>46323</v>
      </c>
      <c r="E48" s="27" t="n">
        <v>46323</v>
      </c>
      <c r="F48" s="28" t="inlineStr">
        <is>
          <t>BE-2 (Backend)</t>
        </is>
      </c>
      <c r="G48" s="8" t="inlineStr">
        <is>
          <t>Chưa bắt đầu</t>
        </is>
      </c>
      <c r="H48" s="26" t="inlineStr">
        <is>
          <t>BR-BC-01→04, BR-KO-07</t>
        </is>
      </c>
      <c r="I48" s="26" t="inlineStr">
        <is>
          <t>BC: Báo cáo</t>
        </is>
      </c>
      <c r="J48" s="29" t="n">
        <v>0</v>
      </c>
    </row>
    <row r="49">
      <c r="A49" s="25" t="n">
        <v>45</v>
      </c>
      <c r="B49" s="26" t="inlineStr">
        <is>
          <t>W4: Lưu trú, CSKH, Báo cáo (26–29/10)</t>
        </is>
      </c>
      <c r="C49" s="26" t="inlineStr">
        <is>
          <t>Integration test FSM: Chi nhánh, Order, Ca thu ngân, Phiếu nhập, Đặt chỗ, Chuồng + E2E bán lẻ &amp; lưu trú + fix bug</t>
        </is>
      </c>
      <c r="D49" s="27" t="n">
        <v>46324</v>
      </c>
      <c r="E49" s="27" t="n">
        <v>46324</v>
      </c>
      <c r="F49" s="28" t="inlineStr">
        <is>
          <t>BE-2 (Backend)</t>
        </is>
      </c>
      <c r="G49" s="8" t="inlineStr">
        <is>
          <t>Chưa bắt đầu</t>
        </is>
      </c>
      <c r="H49" s="26" t="inlineStr">
        <is>
          <t>Bảng chuyển trạng thái 03-state-machines</t>
        </is>
      </c>
      <c r="I49" s="26" t="inlineStr">
        <is>
          <t>M00: Tests</t>
        </is>
      </c>
      <c r="J49" s="29" t="n">
        <v>0</v>
      </c>
    </row>
    <row r="50">
      <c r="A50" s="25" t="n">
        <v>46</v>
      </c>
      <c r="B50" s="26" t="inlineStr">
        <is>
          <t>W4: Lưu trú, CSKH, Báo cáo (26–29/10)</t>
        </is>
      </c>
      <c r="C50" s="26" t="inlineStr">
        <is>
          <t>FE: Kê đơn (mua ngoài) &amp; hẹn tái khám + trang công khai (dịch vụ, chi nhánh, bác sĩ, sản phẩm, bài viết)</t>
        </is>
      </c>
      <c r="D50" s="27" t="n">
        <v>46321</v>
      </c>
      <c r="E50" s="27" t="n">
        <v>46321</v>
      </c>
      <c r="F50" s="28" t="inlineStr">
        <is>
          <t>FE-1 (Frontend)</t>
        </is>
      </c>
      <c r="G50" s="8" t="inlineStr">
        <is>
          <t>Chưa bắt đầu</t>
        </is>
      </c>
      <c r="H50" s="26" t="inlineStr">
        <is>
          <t>UC48, UC15–17</t>
        </is>
      </c>
      <c r="I50" s="26" t="inlineStr">
        <is>
          <t>KB/CK (FE)</t>
        </is>
      </c>
      <c r="J50" s="29" t="n">
        <v>0</v>
      </c>
    </row>
    <row r="51">
      <c r="A51" s="25" t="n">
        <v>47</v>
      </c>
      <c r="B51" s="26" t="inlineStr">
        <is>
          <t>W4: Lưu trú, CSKH, Báo cáo (26–29/10)</t>
        </is>
      </c>
      <c r="C51" s="26" t="inlineStr">
        <is>
          <t>FE: Quản lý nội dung trang, chuyên mục &amp; bài viết, gửi/xem feedback + Care Task của lễ tân</t>
        </is>
      </c>
      <c r="D51" s="27" t="n">
        <v>46322</v>
      </c>
      <c r="E51" s="27" t="n">
        <v>46322</v>
      </c>
      <c r="F51" s="28" t="inlineStr">
        <is>
          <t>FE-1 (Frontend)</t>
        </is>
      </c>
      <c r="G51" s="8" t="inlineStr">
        <is>
          <t>Chưa bắt đầu</t>
        </is>
      </c>
      <c r="H51" s="26" t="inlineStr">
        <is>
          <t>UC21, UC81, UC83, UC84, UC87</t>
        </is>
      </c>
      <c r="I51" s="26" t="inlineStr">
        <is>
          <t>BV/DG/TB (FE)</t>
        </is>
      </c>
      <c r="J51" s="29" t="n">
        <v>0</v>
      </c>
    </row>
    <row r="52">
      <c r="A52" s="25" t="n">
        <v>48</v>
      </c>
      <c r="B52" s="26" t="inlineStr">
        <is>
          <t>W4: Lưu trú, CSKH, Báo cáo (26–29/10)</t>
        </is>
      </c>
      <c r="C52" s="26" t="inlineStr">
        <is>
          <t>FE: Lưu trú: chuồng, đặt chỗ, nhận/trả thú, nhật ký chăm sóc; khách xem lưu trú &amp; nhật ký</t>
        </is>
      </c>
      <c r="D52" s="27" t="n">
        <v>46323</v>
      </c>
      <c r="E52" s="27" t="n">
        <v>46323</v>
      </c>
      <c r="F52" s="28" t="inlineStr">
        <is>
          <t>FE-1 (Frontend)</t>
        </is>
      </c>
      <c r="G52" s="8" t="inlineStr">
        <is>
          <t>Chưa bắt đầu</t>
        </is>
      </c>
      <c r="H52" s="26" t="inlineStr">
        <is>
          <t>UC54, UC57–60</t>
        </is>
      </c>
      <c r="I52" s="26" t="inlineStr">
        <is>
          <t>LT (FE)</t>
        </is>
      </c>
      <c r="J52" s="29" t="n">
        <v>0</v>
      </c>
    </row>
    <row r="53">
      <c r="A53" s="25" t="n">
        <v>49</v>
      </c>
      <c r="B53" s="26" t="inlineStr">
        <is>
          <t>W4: Lưu trú, CSKH, Báo cáo (26–29/10)</t>
        </is>
      </c>
      <c r="C53" s="26" t="inlineStr">
        <is>
          <t>FE: Báo cáo + tích hợp API thật toàn bộ luồng, fix UI</t>
        </is>
      </c>
      <c r="D53" s="27" t="n">
        <v>46324</v>
      </c>
      <c r="E53" s="27" t="n">
        <v>46324</v>
      </c>
      <c r="F53" s="28" t="inlineStr">
        <is>
          <t>FE-1 (Frontend)</t>
        </is>
      </c>
      <c r="G53" s="8" t="inlineStr">
        <is>
          <t>Chưa bắt đầu</t>
        </is>
      </c>
      <c r="H53" s="26" t="inlineStr">
        <is>
          <t>UC89</t>
        </is>
      </c>
      <c r="I53" s="26" t="inlineStr">
        <is>
          <t>BC (FE)</t>
        </is>
      </c>
      <c r="J53" s="29" t="n">
        <v>0</v>
      </c>
    </row>
    <row r="54">
      <c r="A54" s="30" t="n">
        <v>50</v>
      </c>
      <c r="B54" s="31" t="inlineStr">
        <is>
          <t>Demo &amp; Bàn giao (30/10)</t>
        </is>
      </c>
      <c r="C54" s="31" t="inlineStr">
        <is>
          <t>Tổng duyệt demo + bàn giao + đóng milestone (cả nhóm)</t>
        </is>
      </c>
      <c r="D54" s="32" t="n">
        <v>46325</v>
      </c>
      <c r="E54" s="32" t="n">
        <v>46325</v>
      </c>
      <c r="F54" s="33" t="inlineStr">
        <is>
          <t>Cả nhóm</t>
        </is>
      </c>
      <c r="G54" s="8" t="inlineStr">
        <is>
          <t>Chưa bắt đầu</t>
        </is>
      </c>
      <c r="H54" s="31" t="inlineStr">
        <is>
          <t>Milestone M4</t>
        </is>
      </c>
      <c r="I54" s="31" t="inlineStr">
        <is>
          <t>M00: Demo</t>
        </is>
      </c>
      <c r="J54" s="34" t="n">
        <v>0</v>
      </c>
    </row>
  </sheetData>
  <mergeCells count="2">
    <mergeCell ref="A1:J1"/>
    <mergeCell ref="A2:J2"/>
  </mergeCells>
  <conditionalFormatting sqref="G5:G54">
    <cfRule type="cellIs" priority="1" operator="equal" dxfId="0">
      <formula>"Hoàn thành"</formula>
    </cfRule>
    <cfRule type="cellIs" priority="2" operator="equal" dxfId="1">
      <formula>"Đang làm"</formula>
    </cfRule>
    <cfRule type="cellIs" priority="3" operator="equal" dxfId="2">
      <formula>"Bị block"</formula>
    </cfRule>
  </conditionalFormatting>
  <conditionalFormatting sqref="E5:E54">
    <cfRule type="expression" priority="4" dxfId="2">
      <formula>AND($E5&lt;TODAY(),$G5&lt;&gt;"Hoàn thành")</formula>
    </cfRule>
  </conditionalFormatting>
  <conditionalFormatting sqref="J5:J54">
    <cfRule type="dataBar" priority="5">
      <dataBar>
        <cfvo type="num" val="0"/>
        <cfvo type="num" val="1"/>
        <color rgb="004472C4"/>
      </dataBar>
    </cfRule>
  </conditionalFormatting>
  <conditionalFormatting sqref="F5:F54">
    <cfRule type="expression" priority="6" dxfId="3">
      <formula>$F5="BE-1 (Backend)"</formula>
    </cfRule>
    <cfRule type="expression" priority="7" dxfId="4">
      <formula>$F5="BE-2 (Backend)"</formula>
    </cfRule>
    <cfRule type="expression" priority="8" dxfId="5">
      <formula>$F5="FE-1 (Frontend)"</formula>
    </cfRule>
  </conditionalFormatting>
  <dataValidations count="3">
    <dataValidation sqref="F5:F54" showDropDown="0" showInputMessage="0" showErrorMessage="0" allowBlank="1" type="list">
      <formula1>"BE-1 (Backend),BE-2 (Backend),FE-1 (Frontend),Cả nhóm"</formula1>
    </dataValidation>
    <dataValidation sqref="G5:G54" showDropDown="0" showInputMessage="0" showErrorMessage="0" allowBlank="1" type="list">
      <formula1>"Chưa bắt đầu,Đang làm,Hoàn thành,Bị block"</formula1>
    </dataValidation>
    <dataValidation sqref="J5:J54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35" t="inlineStr">
        <is>
          <t>GIAI ĐOẠN</t>
        </is>
      </c>
    </row>
    <row r="2">
      <c r="A2" s="36" t="inlineStr">
        <is>
          <t>GD 0: Thiết kế &amp; Setup</t>
        </is>
      </c>
      <c r="B2" s="37" t="inlineStr">
        <is>
          <t>05–06/10: chốt kiến trúc mới, hợp đồng giữa module, schema, khung BE/FE</t>
        </is>
      </c>
    </row>
    <row r="3">
      <c r="A3" s="38" t="inlineStr">
        <is>
          <t>W1: Nền tảng</t>
        </is>
      </c>
      <c r="B3" s="37" t="inlineStr">
        <is>
          <t>07–09/10: Tài khoản &amp; xác thực, Danh mục, Chi nhánh</t>
        </is>
      </c>
    </row>
    <row r="4">
      <c r="A4" s="39" t="inlineStr">
        <is>
          <t>W2: Dữ liệu nền &amp; Lịch hẹn</t>
        </is>
      </c>
      <c r="B4" s="37" t="inlineStr">
        <is>
          <t>12–16/10: Quản trị, Khách &amp; thú, Kho, Order lõi, Lịch hẹn</t>
        </is>
      </c>
    </row>
    <row r="5">
      <c r="A5" s="40" t="inlineStr">
        <is>
          <t>W3: Luồng khám &amp; bán hàng</t>
        </is>
      </c>
      <c r="B5" s="37" t="inlineStr">
        <is>
          <t>19–23/10: Visit/hàng đợi, Khám, Tiêm, Thu ngân, đặt chỗ lưu trú, nội dung công khai</t>
        </is>
      </c>
    </row>
    <row r="6">
      <c r="A6" s="41" t="inlineStr">
        <is>
          <t>W4: Lưu trú, CSKH, Báo cáo</t>
        </is>
      </c>
      <c r="B6" s="37" t="inlineStr">
        <is>
          <t>26–29/10: Kê đơn, Care Task, nhận/trả thú, Báo cáo, test FSM + E2E</t>
        </is>
      </c>
    </row>
    <row r="7">
      <c r="A7" s="42" t="inlineStr">
        <is>
          <t>Demo &amp; Bàn giao</t>
        </is>
      </c>
      <c r="B7" s="37" t="inlineStr">
        <is>
          <t>30/10: tổng duyệt + demo (Milestone M4)</t>
        </is>
      </c>
    </row>
    <row r="9">
      <c r="A9" s="35" t="inlineStr">
        <is>
          <t>TRẠNG THÁI</t>
        </is>
      </c>
    </row>
    <row r="10">
      <c r="A10" s="43" t="inlineStr">
        <is>
          <t>Chưa bắt đầu</t>
        </is>
      </c>
      <c r="B10" s="37" t="inlineStr">
        <is>
          <t>Việc mới, tiến độ 0%</t>
        </is>
      </c>
    </row>
    <row r="11">
      <c r="A11" s="39" t="inlineStr">
        <is>
          <t>Đang làm</t>
        </is>
      </c>
      <c r="B11" s="37" t="inlineStr">
        <is>
          <t>Đang thực hiện, cập nhật tiến độ %</t>
        </is>
      </c>
    </row>
    <row r="12">
      <c r="A12" s="38" t="inlineStr">
        <is>
          <t>Hoàn thành</t>
        </is>
      </c>
      <c r="B12" s="37" t="inlineStr">
        <is>
          <t>Xong + test theo Definition of Done, tiến độ 100%</t>
        </is>
      </c>
    </row>
    <row r="13">
      <c r="A13" s="44" t="inlineStr">
        <is>
          <t>Bị block</t>
        </is>
      </c>
      <c r="B13" s="37" t="inlineStr">
        <is>
          <t>Tắc nghẽn — ghi rõ blocker ở cột Ghi chú</t>
        </is>
      </c>
    </row>
    <row r="15">
      <c r="A15" s="35" t="inlineStr">
        <is>
          <t>NGƯỜI THỰC HIỆN</t>
        </is>
      </c>
    </row>
    <row r="16">
      <c r="A16" s="41" t="inlineStr">
        <is>
          <t>BE-1 (Backend)</t>
        </is>
      </c>
      <c r="B16" s="37" t="inlineStr">
        <is>
          <t>Định danh &amp; luồng khám: Tài khoản, Quản trị, Lịch hẹn, Tiếp nhận, Khám, Tiêm, Care Task, thông báo</t>
        </is>
      </c>
    </row>
    <row r="17">
      <c r="A17" s="45" t="inlineStr">
        <is>
          <t>BE-2 (Backend)</t>
        </is>
      </c>
      <c r="B17" s="37" t="inlineStr">
        <is>
          <t>Dữ liệu nền &amp; thương mại: Schema, Danh mục, Chi nhánh, Khách &amp; thú, Kho, Order, Thu ngân, Lưu trú, Nội dung, Báo cáo</t>
        </is>
      </c>
    </row>
    <row r="18">
      <c r="A18" s="40" t="inlineStr">
        <is>
          <t>FE-1 (Frontend)</t>
        </is>
      </c>
      <c r="B18" s="37" t="inlineStr">
        <is>
          <t>Frontend: toàn bộ UI; làm trên mock theo hợp đồng API, nối API thật khi BE xong</t>
        </is>
      </c>
    </row>
    <row r="19">
      <c r="A19" s="42" t="inlineStr">
        <is>
          <t>Cả nhóm</t>
        </is>
      </c>
      <c r="B19" s="37" t="inlineStr">
        <is>
          <t>Thiết kế chung, hợp đồng giữa module, demo</t>
        </is>
      </c>
    </row>
    <row r="21">
      <c r="A21" s="35" t="inlineStr">
        <is>
          <t>NGUYÊN TẮC LÀM SONG SONG</t>
        </is>
      </c>
    </row>
    <row r="22">
      <c r="A22" s="46" t="inlineStr">
        <is>
          <t>1. Hợp đồng trước</t>
        </is>
      </c>
      <c r="B22" s="37" t="inlineStr">
        <is>
          <t>05/10 chốt sự kiện liên đối tượng + interface chéo; mỗi BE code theo interface, dùng stub phía bên kia.</t>
        </is>
      </c>
    </row>
    <row r="23">
      <c r="A23" s="46" t="inlineStr">
        <is>
          <t>2. Bên cung cấp làm trước</t>
        </is>
      </c>
      <c r="B23" s="37" t="inlineStr">
        <is>
          <t>BE-2 làm Danh mục → Chi nhánh → Khách &amp; thú → Kho → Order lõi trước khi BE-1 cần (Lịch hẹn 15/10, Visit 20/10, Tiêm 23/10).</t>
        </is>
      </c>
    </row>
    <row r="24">
      <c r="A24" s="46" t="inlineStr">
        <is>
          <t>3. Sự kiện thay vì gọi trực tiếp</t>
        </is>
      </c>
      <c r="B24" s="37" t="inlineStr">
        <is>
          <t>Thú mất, chuyển chủ, ngày nghỉ, OVERDUE… phát sự kiện; bên sở hữu đối tượng bị kéo theo tự xử lý.</t>
        </is>
      </c>
    </row>
    <row r="25">
      <c r="A25" s="46" t="inlineStr">
        <is>
          <t>4. Nối thật &amp; test cuối</t>
        </is>
      </c>
      <c r="B25" s="37" t="inlineStr">
        <is>
          <t>28–29/10 thay stub bằng implementation thật + integration test FSM + E2E.</t>
        </is>
      </c>
    </row>
    <row r="26">
      <c r="A26" s="46" t="inlineStr">
        <is>
          <t>5. FE đi sau BE</t>
        </is>
      </c>
      <c r="B26" s="37" t="inlineStr">
        <is>
          <t>FE dựng màn hình khi hợp đồng API của module đã có; đa số màn hình làm sau khi BE xong module đó.</t>
        </is>
      </c>
    </row>
    <row r="28">
      <c r="A28" s="35" t="inlineStr">
        <is>
          <t>CÁCH CẬP NHẬT</t>
        </is>
      </c>
    </row>
    <row r="29">
      <c r="A29" s="46" t="inlineStr">
        <is>
          <t>Cột được sửa</t>
        </is>
      </c>
      <c r="B29" s="37" t="inlineStr">
        <is>
          <t>Trạng thái (G), Tiến độ % (J, nhập 0–1 hoặc 0%–100%), Ghi chú (H). Ngày kết thúc đỏ = quá hạn chưa xong.</t>
        </is>
      </c>
    </row>
    <row r="30">
      <c r="A30" s="46" t="inlineStr">
        <is>
          <t>Ngày làm việc</t>
        </is>
      </c>
      <c r="B30" s="37" t="inlineStr">
        <is>
          <t>Thứ 2–thứ 6, 05/10–30/10/2026 (20 ngày). 03–04/10 là cuối tuần nên bắt đầu 05/10.</t>
        </is>
      </c>
    </row>
    <row r="31">
      <c r="A31" s="46" t="inlineStr">
        <is>
          <t>Nguồn</t>
        </is>
      </c>
      <c r="B31" s="37" t="inlineStr">
        <is>
          <t>Chỉ căn cứ docs/01–05 + INDEX (v15). Không dùng code hay tài liệu cũ trong repo.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10" customWidth="1" min="5" max="5"/>
    <col width="8" customWidth="1" min="6" max="6"/>
    <col width="34" customWidth="1" min="7" max="7"/>
    <col width="26" customWidth="1" min="8" max="8"/>
  </cols>
  <sheetData>
    <row r="1">
      <c r="A1" s="3" t="inlineStr">
        <is>
          <t>Module (17 phân hệ, tầng 1–2)</t>
        </is>
      </c>
      <c r="B1" s="3" t="inlineStr">
        <is>
          <t>BE-1</t>
        </is>
      </c>
      <c r="C1" s="3" t="inlineStr">
        <is>
          <t>BE-2</t>
        </is>
      </c>
      <c r="D1" s="3" t="inlineStr">
        <is>
          <t>FE-1</t>
        </is>
      </c>
      <c r="E1" s="3" t="inlineStr">
        <is>
          <t>Tuần</t>
        </is>
      </c>
      <c r="F1" s="3" t="inlineStr">
        <is>
          <t>Tầng</t>
        </is>
      </c>
      <c r="G1" s="3" t="inlineStr">
        <is>
          <t>FSM</t>
        </is>
      </c>
      <c r="H1" s="3" t="inlineStr">
        <is>
          <t>Rules</t>
        </is>
      </c>
    </row>
    <row r="2">
      <c r="A2" s="47" t="inlineStr">
        <is>
          <t>TK: Tài khoản &amp; xác thực</t>
        </is>
      </c>
      <c r="B2" s="48" t="inlineStr">
        <is>
          <t>X</t>
        </is>
      </c>
      <c r="C2" s="47" t="n"/>
      <c r="D2" s="48" t="inlineStr">
        <is>
          <t>X</t>
        </is>
      </c>
      <c r="E2" s="47" t="inlineStr">
        <is>
          <t>W1</t>
        </is>
      </c>
      <c r="F2" s="47" t="n">
        <v>1</v>
      </c>
      <c r="G2" s="47" t="inlineStr">
        <is>
          <t>Tài khoản (8 chuyển)</t>
        </is>
      </c>
      <c r="H2" s="47" t="inlineStr">
        <is>
          <t>BR-TK-01→20</t>
        </is>
      </c>
    </row>
    <row r="3">
      <c r="A3" s="47" t="inlineStr">
        <is>
          <t>QT: Quản trị hệ thống</t>
        </is>
      </c>
      <c r="B3" s="48" t="inlineStr">
        <is>
          <t>X</t>
        </is>
      </c>
      <c r="C3" s="47" t="n"/>
      <c r="D3" s="48" t="inlineStr">
        <is>
          <t>X</t>
        </is>
      </c>
      <c r="E3" s="47" t="inlineStr">
        <is>
          <t>W2</t>
        </is>
      </c>
      <c r="F3" s="47" t="n">
        <v>1</v>
      </c>
      <c r="G3" s="47" t="inlineStr">
        <is>
          <t>Dùng chung FSM Tài khoản</t>
        </is>
      </c>
      <c r="H3" s="47" t="inlineStr">
        <is>
          <t>BR-QT-01→16</t>
        </is>
      </c>
    </row>
    <row r="4">
      <c r="A4" s="47" t="inlineStr">
        <is>
          <t>CN: Chi nhánh</t>
        </is>
      </c>
      <c r="B4" s="47" t="n"/>
      <c r="C4" s="48" t="inlineStr">
        <is>
          <t>X</t>
        </is>
      </c>
      <c r="D4" s="48" t="inlineStr">
        <is>
          <t>X</t>
        </is>
      </c>
      <c r="E4" s="47" t="inlineStr">
        <is>
          <t>W1</t>
        </is>
      </c>
      <c r="F4" s="47" t="n">
        <v>1</v>
      </c>
      <c r="G4" s="47" t="inlineStr">
        <is>
          <t>Chi nhánh (2 chuyển)</t>
        </is>
      </c>
      <c r="H4" s="47" t="inlineStr">
        <is>
          <t>BR-CN-01→05</t>
        </is>
      </c>
    </row>
    <row r="5">
      <c r="A5" s="47" t="inlineStr">
        <is>
          <t>CK: Thông tin công khai</t>
        </is>
      </c>
      <c r="B5" s="47" t="n"/>
      <c r="C5" s="48" t="inlineStr">
        <is>
          <t>X</t>
        </is>
      </c>
      <c r="D5" s="48" t="inlineStr">
        <is>
          <t>X</t>
        </is>
      </c>
      <c r="E5" s="47" t="inlineStr">
        <is>
          <t>W3</t>
        </is>
      </c>
      <c r="F5" s="47" t="n">
        <v>1</v>
      </c>
      <c r="G5" s="47" t="inlineStr">
        <is>
          <t>Không</t>
        </is>
      </c>
      <c r="H5" s="47" t="inlineStr">
        <is>
          <t>BR-CK-01→03</t>
        </is>
      </c>
    </row>
    <row r="6">
      <c r="A6" s="47" t="inlineStr">
        <is>
          <t>KH: Khách hàng &amp; thú cưng</t>
        </is>
      </c>
      <c r="B6" s="47" t="n"/>
      <c r="C6" s="48" t="inlineStr">
        <is>
          <t>X</t>
        </is>
      </c>
      <c r="D6" s="48" t="inlineStr">
        <is>
          <t>X</t>
        </is>
      </c>
      <c r="E6" s="47" t="inlineStr">
        <is>
          <t>W2</t>
        </is>
      </c>
      <c r="F6" s="47" t="n">
        <v>1</v>
      </c>
      <c r="G6" s="47" t="inlineStr">
        <is>
          <t>Không</t>
        </is>
      </c>
      <c r="H6" s="47" t="inlineStr">
        <is>
          <t>BR-KH-01→08</t>
        </is>
      </c>
    </row>
    <row r="7">
      <c r="A7" s="47" t="inlineStr">
        <is>
          <t>SP: Sản phẩm &amp; dịch vụ</t>
        </is>
      </c>
      <c r="B7" s="47" t="n"/>
      <c r="C7" s="48" t="inlineStr">
        <is>
          <t>X</t>
        </is>
      </c>
      <c r="D7" s="48" t="inlineStr">
        <is>
          <t>X</t>
        </is>
      </c>
      <c r="E7" s="47" t="inlineStr">
        <is>
          <t>W1</t>
        </is>
      </c>
      <c r="F7" s="47" t="n">
        <v>1</v>
      </c>
      <c r="G7" s="47" t="inlineStr">
        <is>
          <t>Không</t>
        </is>
      </c>
      <c r="H7" s="47" t="inlineStr">
        <is>
          <t>BR-SP-01→07</t>
        </is>
      </c>
    </row>
    <row r="8">
      <c r="A8" s="47" t="inlineStr">
        <is>
          <t>LH: Lịch hẹn</t>
        </is>
      </c>
      <c r="B8" s="48" t="inlineStr">
        <is>
          <t>X</t>
        </is>
      </c>
      <c r="C8" s="47" t="n"/>
      <c r="D8" s="48" t="inlineStr">
        <is>
          <t>X</t>
        </is>
      </c>
      <c r="E8" s="47" t="inlineStr">
        <is>
          <t>W2–W3</t>
        </is>
      </c>
      <c r="F8" s="47" t="n">
        <v>1</v>
      </c>
      <c r="G8" s="47" t="inlineStr">
        <is>
          <t>Lịch hẹn (8 chuyển)</t>
        </is>
      </c>
      <c r="H8" s="47" t="inlineStr">
        <is>
          <t>BR-LH-01→12</t>
        </is>
      </c>
    </row>
    <row r="9">
      <c r="A9" s="47" t="inlineStr">
        <is>
          <t>TN: Tiếp nhận &amp; hàng đợi</t>
        </is>
      </c>
      <c r="B9" s="48" t="inlineStr">
        <is>
          <t>X</t>
        </is>
      </c>
      <c r="C9" s="47" t="n"/>
      <c r="D9" s="48" t="inlineStr">
        <is>
          <t>X</t>
        </is>
      </c>
      <c r="E9" s="47" t="inlineStr">
        <is>
          <t>W3</t>
        </is>
      </c>
      <c r="F9" s="47" t="n">
        <v>1</v>
      </c>
      <c r="G9" s="47" t="inlineStr">
        <is>
          <t>Visit (6 chuyển)</t>
        </is>
      </c>
      <c r="H9" s="47" t="inlineStr">
        <is>
          <t>BR-TN-01→09</t>
        </is>
      </c>
    </row>
    <row r="10">
      <c r="A10" s="47" t="inlineStr">
        <is>
          <t>KB: Khám &amp; điều trị</t>
        </is>
      </c>
      <c r="B10" s="48" t="inlineStr">
        <is>
          <t>X</t>
        </is>
      </c>
      <c r="C10" s="47" t="n"/>
      <c r="D10" s="48" t="inlineStr">
        <is>
          <t>X</t>
        </is>
      </c>
      <c r="E10" s="47" t="inlineStr">
        <is>
          <t>W3–W4</t>
        </is>
      </c>
      <c r="F10" s="47" t="n">
        <v>1</v>
      </c>
      <c r="G10" s="47" t="inlineStr">
        <is>
          <t>Dùng chung FSM Visit</t>
        </is>
      </c>
      <c r="H10" s="47" t="inlineStr">
        <is>
          <t>BR-KB-01→06 (bỏ 05)</t>
        </is>
      </c>
    </row>
    <row r="11">
      <c r="A11" s="47" t="inlineStr">
        <is>
          <t>LT: Lưu trú</t>
        </is>
      </c>
      <c r="B11" s="47" t="n"/>
      <c r="C11" s="48" t="inlineStr">
        <is>
          <t>X</t>
        </is>
      </c>
      <c r="D11" s="48" t="inlineStr">
        <is>
          <t>X</t>
        </is>
      </c>
      <c r="E11" s="47" t="inlineStr">
        <is>
          <t>W3–W4</t>
        </is>
      </c>
      <c r="F11" s="47" t="n">
        <v>2</v>
      </c>
      <c r="G11" s="47" t="inlineStr">
        <is>
          <t>Đặt chỗ (11) + Chuồng (5)</t>
        </is>
      </c>
      <c r="H11" s="47" t="inlineStr">
        <is>
          <t>BR-LT-01→12</t>
        </is>
      </c>
    </row>
    <row r="12">
      <c r="A12" s="47" t="inlineStr">
        <is>
          <t>BH: Bán hàng &amp; đơn hàng</t>
        </is>
      </c>
      <c r="B12" s="47" t="n"/>
      <c r="C12" s="48" t="inlineStr">
        <is>
          <t>X</t>
        </is>
      </c>
      <c r="D12" s="48" t="inlineStr">
        <is>
          <t>X</t>
        </is>
      </c>
      <c r="E12" s="47" t="inlineStr">
        <is>
          <t>W2–W3</t>
        </is>
      </c>
      <c r="F12" s="47" t="n">
        <v>1</v>
      </c>
      <c r="G12" s="47" t="inlineStr">
        <is>
          <t>Order (10 chuyển)</t>
        </is>
      </c>
      <c r="H12" s="47" t="inlineStr">
        <is>
          <t>BR-BH-01→06</t>
        </is>
      </c>
    </row>
    <row r="13">
      <c r="A13" s="47" t="inlineStr">
        <is>
          <t>TG: Thu ngân</t>
        </is>
      </c>
      <c r="B13" s="47" t="n"/>
      <c r="C13" s="48" t="inlineStr">
        <is>
          <t>X</t>
        </is>
      </c>
      <c r="D13" s="48" t="inlineStr">
        <is>
          <t>X</t>
        </is>
      </c>
      <c r="E13" s="47" t="inlineStr">
        <is>
          <t>W3</t>
        </is>
      </c>
      <c r="F13" s="47" t="n">
        <v>1</v>
      </c>
      <c r="G13" s="47" t="inlineStr">
        <is>
          <t>Ca thu ngân (6 chuyển)</t>
        </is>
      </c>
      <c r="H13" s="47" t="inlineStr">
        <is>
          <t>BR-TG-01→05</t>
        </is>
      </c>
    </row>
    <row r="14">
      <c r="A14" s="47" t="inlineStr">
        <is>
          <t>KO: Kho</t>
        </is>
      </c>
      <c r="B14" s="47" t="n"/>
      <c r="C14" s="48" t="inlineStr">
        <is>
          <t>X</t>
        </is>
      </c>
      <c r="D14" s="48" t="inlineStr">
        <is>
          <t>X</t>
        </is>
      </c>
      <c r="E14" s="47" t="inlineStr">
        <is>
          <t>W2</t>
        </is>
      </c>
      <c r="F14" s="47" t="n">
        <v>2</v>
      </c>
      <c r="G14" s="47" t="inlineStr">
        <is>
          <t>Phiếu nhập kho (4 chuyển)</t>
        </is>
      </c>
      <c r="H14" s="47" t="inlineStr">
        <is>
          <t>BR-KO-01→07</t>
        </is>
      </c>
    </row>
    <row r="15">
      <c r="A15" s="47" t="inlineStr">
        <is>
          <t>BV: Bài viết</t>
        </is>
      </c>
      <c r="B15" s="47" t="n"/>
      <c r="C15" s="48" t="inlineStr">
        <is>
          <t>X</t>
        </is>
      </c>
      <c r="D15" s="48" t="inlineStr">
        <is>
          <t>X</t>
        </is>
      </c>
      <c r="E15" s="47" t="inlineStr">
        <is>
          <t>W3</t>
        </is>
      </c>
      <c r="F15" s="47" t="n">
        <v>2</v>
      </c>
      <c r="G15" s="47" t="inlineStr">
        <is>
          <t>Không (trạng thái trong BR-BV-02)</t>
        </is>
      </c>
      <c r="H15" s="47" t="inlineStr">
        <is>
          <t>BR-BV-01→04</t>
        </is>
      </c>
    </row>
    <row r="16">
      <c r="A16" s="47" t="inlineStr">
        <is>
          <t>DG: Feedback</t>
        </is>
      </c>
      <c r="B16" s="47" t="n"/>
      <c r="C16" s="48" t="inlineStr">
        <is>
          <t>X</t>
        </is>
      </c>
      <c r="D16" s="48" t="inlineStr">
        <is>
          <t>X</t>
        </is>
      </c>
      <c r="E16" s="47" t="inlineStr">
        <is>
          <t>W3</t>
        </is>
      </c>
      <c r="F16" s="47" t="n">
        <v>2</v>
      </c>
      <c r="G16" s="47" t="inlineStr">
        <is>
          <t>Không (trạng thái trong BR-DG-04)</t>
        </is>
      </c>
      <c r="H16" s="47" t="inlineStr">
        <is>
          <t>BR-DG-01→04</t>
        </is>
      </c>
    </row>
    <row r="17">
      <c r="A17" s="47" t="inlineStr">
        <is>
          <t>TB: Chăm sóc KH &amp; thông báo</t>
        </is>
      </c>
      <c r="B17" s="48" t="inlineStr">
        <is>
          <t>X</t>
        </is>
      </c>
      <c r="C17" s="47" t="n"/>
      <c r="D17" s="48" t="inlineStr">
        <is>
          <t>X</t>
        </is>
      </c>
      <c r="E17" s="47" t="inlineStr">
        <is>
          <t>W1+W4</t>
        </is>
      </c>
      <c r="F17" s="47" t="n">
        <v>1</v>
      </c>
      <c r="G17" s="47" t="inlineStr">
        <is>
          <t>Care Task (6 chuyển)</t>
        </is>
      </c>
      <c r="H17" s="47" t="inlineStr">
        <is>
          <t>BR-TB-01→06</t>
        </is>
      </c>
    </row>
    <row r="18">
      <c r="A18" s="47" t="inlineStr">
        <is>
          <t>BC: Báo cáo</t>
        </is>
      </c>
      <c r="B18" s="47" t="n"/>
      <c r="C18" s="48" t="inlineStr">
        <is>
          <t>X</t>
        </is>
      </c>
      <c r="D18" s="48" t="inlineStr">
        <is>
          <t>X</t>
        </is>
      </c>
      <c r="E18" s="47" t="inlineStr">
        <is>
          <t>W4</t>
        </is>
      </c>
      <c r="F18" s="47" t="n">
        <v>2</v>
      </c>
      <c r="G18" s="47" t="inlineStr">
        <is>
          <t>Không</t>
        </is>
      </c>
      <c r="H18" s="47" t="inlineStr">
        <is>
          <t>BR-BC-01→04</t>
        </is>
      </c>
    </row>
    <row r="19">
      <c r="A19" s="47" t="inlineStr">
        <is>
          <t>Hợp đồng giữa module + Setup</t>
        </is>
      </c>
      <c r="B19" s="48" t="inlineStr">
        <is>
          <t>X</t>
        </is>
      </c>
      <c r="C19" s="48" t="inlineStr">
        <is>
          <t>X</t>
        </is>
      </c>
      <c r="D19" s="48" t="inlineStr">
        <is>
          <t>X</t>
        </is>
      </c>
      <c r="E19" s="47" t="inlineStr">
        <is>
          <t>GD 0</t>
        </is>
      </c>
      <c r="F19" s="47" t="inlineStr">
        <is>
          <t>—</t>
        </is>
      </c>
      <c r="G19" s="47" t="inlineStr">
        <is>
          <t>—</t>
        </is>
      </c>
      <c r="H19" s="47" t="inlineStr">
        <is>
          <t>Phụ lục 03</t>
        </is>
      </c>
    </row>
    <row r="20">
      <c r="A20" s="47" t="inlineStr">
        <is>
          <t>Integration test FSM + E2E</t>
        </is>
      </c>
      <c r="B20" s="48" t="inlineStr">
        <is>
          <t>X</t>
        </is>
      </c>
      <c r="C20" s="48" t="inlineStr">
        <is>
          <t>X</t>
        </is>
      </c>
      <c r="D20" s="48" t="inlineStr">
        <is>
          <t>X</t>
        </is>
      </c>
      <c r="E20" s="47" t="inlineStr">
        <is>
          <t>W4</t>
        </is>
      </c>
      <c r="F20" s="47" t="inlineStr">
        <is>
          <t>—</t>
        </is>
      </c>
      <c r="G20" s="47" t="inlineStr">
        <is>
          <t>Đủ cặp hợp lệ/không hợp lệ</t>
        </is>
      </c>
      <c r="H20" s="47" t="inlineStr">
        <is>
          <t>03-state-machines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2" customWidth="1" min="3" max="3"/>
    <col width="28" customWidth="1" min="4" max="4"/>
    <col width="8" customWidth="1" min="5" max="5"/>
    <col width="60" customWidth="1" min="6" max="6"/>
  </cols>
  <sheetData>
    <row r="1">
      <c r="A1" s="3" t="inlineStr">
        <is>
          <t>FSM</t>
        </is>
      </c>
      <c r="B1" s="3" t="inlineStr">
        <is>
          <t>States</t>
        </is>
      </c>
      <c r="C1" s="3" t="inlineStr">
        <is>
          <t>Transitions</t>
        </is>
      </c>
      <c r="D1" s="3" t="inlineStr">
        <is>
          <t>Guards (Rules)</t>
        </is>
      </c>
      <c r="E1" s="3" t="inlineStr">
        <is>
          <t>Owner</t>
        </is>
      </c>
      <c r="F1" s="3" t="inlineStr">
        <is>
          <t>Task ID (chuyển # → task)</t>
        </is>
      </c>
    </row>
    <row r="2">
      <c r="A2" s="47" t="inlineStr">
        <is>
          <t>Tài khoản</t>
        </is>
      </c>
      <c r="B2" s="49" t="inlineStr">
        <is>
          <t>PENDING, ACTIVE, DISABLED (+ cờ is_locked)</t>
        </is>
      </c>
      <c r="C2" s="47" t="n">
        <v>8</v>
      </c>
      <c r="D2" s="47" t="inlineStr">
        <is>
          <t>BR-TK-01→08, BR-QT-01→12</t>
        </is>
      </c>
      <c r="E2" s="47" t="inlineStr">
        <is>
          <t>BE-1</t>
        </is>
      </c>
      <c r="F2" s="49" t="inlineStr">
        <is>
          <t>#1,2,3 → T6; #4,5,6,7,8 → T14</t>
        </is>
      </c>
    </row>
    <row r="3">
      <c r="A3" s="47" t="inlineStr">
        <is>
          <t>Chi nhánh</t>
        </is>
      </c>
      <c r="B3" s="49" t="inlineStr">
        <is>
          <t>DRAFT, ACTIVE</t>
        </is>
      </c>
      <c r="C3" s="47" t="n">
        <v>2</v>
      </c>
      <c r="D3" s="47" t="inlineStr">
        <is>
          <t>BR-CN-01, BR-QT-04</t>
        </is>
      </c>
      <c r="E3" s="47" t="inlineStr">
        <is>
          <t>BE-2</t>
        </is>
      </c>
      <c r="F3" s="49" t="inlineStr">
        <is>
          <t>#1,2 → T10</t>
        </is>
      </c>
    </row>
    <row r="4">
      <c r="A4" s="47" t="inlineStr">
        <is>
          <t>Lịch hẹn</t>
        </is>
      </c>
      <c r="B4" s="49" t="inlineStr">
        <is>
          <t>BOOKED, CHECKED_IN, COMPLETED, CANCELLED, NO_SHOW</t>
        </is>
      </c>
      <c r="C4" s="47" t="n">
        <v>8</v>
      </c>
      <c r="D4" s="47" t="inlineStr">
        <is>
          <t>BR-LH-01→11</t>
        </is>
      </c>
      <c r="E4" s="47" t="inlineStr">
        <is>
          <t>BE-1</t>
        </is>
      </c>
      <c r="F4" s="49" t="inlineStr">
        <is>
          <t>#1,2,4 → T16; #5,6 → T25; #3,8 → T26; #7 → T27</t>
        </is>
      </c>
    </row>
    <row r="5">
      <c r="A5" s="47" t="inlineStr">
        <is>
          <t>Visit</t>
        </is>
      </c>
      <c r="B5" s="49" t="inlineStr">
        <is>
          <t>WAITING, IN_PROGRESS, COMPLETED, CANCELLED</t>
        </is>
      </c>
      <c r="C5" s="47" t="n">
        <v>6</v>
      </c>
      <c r="D5" s="47" t="inlineStr">
        <is>
          <t>BR-TN-01→09, BR-KB-01→02</t>
        </is>
      </c>
      <c r="E5" s="47" t="inlineStr">
        <is>
          <t>BE-1</t>
        </is>
      </c>
      <c r="F5" s="49" t="inlineStr">
        <is>
          <t>#1,2,3,4,6 → T26; #5 → T27</t>
        </is>
      </c>
    </row>
    <row r="6">
      <c r="A6" s="47" t="inlineStr">
        <is>
          <t>Order</t>
        </is>
      </c>
      <c r="B6" s="49" t="inlineStr">
        <is>
          <t>OPEN, PENDING, PAID, CANCELLED (source VISIT/RETAIL/BOARDING)</t>
        </is>
      </c>
      <c r="C6" s="47" t="n">
        <v>10</v>
      </c>
      <c r="D6" s="47" t="inlineStr">
        <is>
          <t>BR-BH-01→06, BR-TG-01→04</t>
        </is>
      </c>
      <c r="E6" s="47" t="inlineStr">
        <is>
          <t>BE-2</t>
        </is>
      </c>
      <c r="F6" s="49" t="inlineStr">
        <is>
          <t>#1,4,6 → T19; #2,5,7,10 → T29; #8 → T30; #3,9 → T43</t>
        </is>
      </c>
    </row>
    <row r="7">
      <c r="A7" s="47" t="inlineStr">
        <is>
          <t>Đặt chỗ lưu trú</t>
        </is>
      </c>
      <c r="B7" s="49" t="inlineStr">
        <is>
          <t>BOOKED, CHECKED_IN, OVERDUE, CHECKED_OUT, CANCELLED, NO_SHOW</t>
        </is>
      </c>
      <c r="C7" s="47" t="n">
        <v>11</v>
      </c>
      <c r="D7" s="47" t="inlineStr">
        <is>
          <t>BR-LT-02→12</t>
        </is>
      </c>
      <c r="E7" s="47" t="inlineStr">
        <is>
          <t>BE-2</t>
        </is>
      </c>
      <c r="F7" s="49" t="inlineStr">
        <is>
          <t>#1,2,4,5,6 → T31; #3,8 → T42; #7,9,10,11 → T43</t>
        </is>
      </c>
    </row>
    <row r="8">
      <c r="A8" s="47" t="inlineStr">
        <is>
          <t>Chuồng</t>
        </is>
      </c>
      <c r="B8" s="49" t="inlineStr">
        <is>
          <t>AVAILABLE, OCCUPIED, MAINTENANCE</t>
        </is>
      </c>
      <c r="C8" s="47" t="n">
        <v>5</v>
      </c>
      <c r="D8" s="47" t="inlineStr">
        <is>
          <t>BR-LT-01, 08, 09, 12</t>
        </is>
      </c>
      <c r="E8" s="47" t="inlineStr">
        <is>
          <t>BE-2</t>
        </is>
      </c>
      <c r="F8" s="49" t="inlineStr">
        <is>
          <t>#1,4,5 → T31; #2 → T42; #3 → T43</t>
        </is>
      </c>
    </row>
    <row r="9">
      <c r="A9" s="47" t="inlineStr">
        <is>
          <t>Ca thu ngân</t>
        </is>
      </c>
      <c r="B9" s="49" t="inlineStr">
        <is>
          <t>OPEN, CLOSED, RECONCILED (+ is_after_hours)</t>
        </is>
      </c>
      <c r="C9" s="47" t="n">
        <v>6</v>
      </c>
      <c r="D9" s="47" t="inlineStr">
        <is>
          <t>BR-TG-01, 04, 05, BR-CN-05</t>
        </is>
      </c>
      <c r="E9" s="47" t="inlineStr">
        <is>
          <t>BE-2</t>
        </is>
      </c>
      <c r="F9" s="49" t="inlineStr">
        <is>
          <t>#1,2,3,4,5,6 → T30</t>
        </is>
      </c>
    </row>
    <row r="10">
      <c r="A10" s="47" t="inlineStr">
        <is>
          <t>Phiếu nhập kho</t>
        </is>
      </c>
      <c r="B10" s="49" t="inlineStr">
        <is>
          <t>DRAFT, CONFIRMED, CANCELLED</t>
        </is>
      </c>
      <c r="C10" s="47" t="n">
        <v>4</v>
      </c>
      <c r="D10" s="47" t="inlineStr">
        <is>
          <t>BR-KO-02→04, BR-SP-05</t>
        </is>
      </c>
      <c r="E10" s="47" t="inlineStr">
        <is>
          <t>BE-2</t>
        </is>
      </c>
      <c r="F10" s="49" t="inlineStr">
        <is>
          <t>#1,2,3,4 → T18</t>
        </is>
      </c>
    </row>
    <row r="11">
      <c r="A11" s="47" t="inlineStr">
        <is>
          <t>Care Task</t>
        </is>
      </c>
      <c r="B11" s="49" t="inlineStr">
        <is>
          <t>OPEN, DONE, CANCELLED</t>
        </is>
      </c>
      <c r="C11" s="47" t="n">
        <v>6</v>
      </c>
      <c r="D11" s="47" t="inlineStr">
        <is>
          <t>BR-TB-02→06, BR-LT-10</t>
        </is>
      </c>
      <c r="E11" s="47" t="inlineStr">
        <is>
          <t>BE-1</t>
        </is>
      </c>
      <c r="F11" s="49" t="inlineStr">
        <is>
          <t>#1,2,3,4,5,6 → T39</t>
        </is>
      </c>
    </row>
    <row r="12">
      <c r="A12" s="35" t="inlineStr">
        <is>
          <t>Tổng</t>
        </is>
      </c>
      <c r="C12" s="35">
        <f>SUM(C2:C11)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34" customWidth="1" min="3" max="3"/>
    <col width="18" customWidth="1" min="4" max="4"/>
    <col width="18" customWidth="1" min="5" max="5"/>
  </cols>
  <sheetData>
    <row r="1">
      <c r="A1" s="3" t="inlineStr">
        <is>
          <t>Mã</t>
        </is>
      </c>
      <c r="B1" s="3" t="inlineStr">
        <is>
          <t>Use case / Tác vụ hệ thống</t>
        </is>
      </c>
      <c r="C1" s="3" t="inlineStr">
        <is>
          <t>Phạm vi</t>
        </is>
      </c>
      <c r="D1" s="3" t="inlineStr">
        <is>
          <t>Task BE</t>
        </is>
      </c>
      <c r="E1" s="3" t="inlineStr">
        <is>
          <t>Task FE</t>
        </is>
      </c>
    </row>
    <row r="2">
      <c r="A2" s="47" t="inlineStr">
        <is>
          <t>UC01</t>
        </is>
      </c>
      <c r="B2" s="47" t="inlineStr">
        <is>
          <t>Đăng ký tài khoản</t>
        </is>
      </c>
      <c r="C2" s="11" t="inlineStr">
        <is>
          <t>Trong phạm vi</t>
        </is>
      </c>
      <c r="D2" s="47" t="inlineStr">
        <is>
          <t>T6</t>
        </is>
      </c>
      <c r="E2" s="47" t="inlineStr">
        <is>
          <t>T12</t>
        </is>
      </c>
    </row>
    <row r="3">
      <c r="A3" s="47" t="inlineStr">
        <is>
          <t>UC02</t>
        </is>
      </c>
      <c r="B3" s="47" t="inlineStr">
        <is>
          <t>Xác thực OTP</t>
        </is>
      </c>
      <c r="C3" s="11" t="inlineStr">
        <is>
          <t>Trong phạm vi</t>
        </is>
      </c>
      <c r="D3" s="47" t="inlineStr">
        <is>
          <t>T6</t>
        </is>
      </c>
      <c r="E3" s="47" t="inlineStr">
        <is>
          <t>T12</t>
        </is>
      </c>
    </row>
    <row r="4">
      <c r="A4" s="47" t="inlineStr">
        <is>
          <t>UC03</t>
        </is>
      </c>
      <c r="B4" s="47" t="inlineStr">
        <is>
          <t>Đăng nhập / đăng xuất</t>
        </is>
      </c>
      <c r="C4" s="11" t="inlineStr">
        <is>
          <t>Trong phạm vi</t>
        </is>
      </c>
      <c r="D4" s="47" t="inlineStr">
        <is>
          <t>T7</t>
        </is>
      </c>
      <c r="E4" s="47" t="inlineStr">
        <is>
          <t>T12</t>
        </is>
      </c>
    </row>
    <row r="5">
      <c r="A5" s="47" t="inlineStr">
        <is>
          <t>UC04</t>
        </is>
      </c>
      <c r="B5" s="47" t="inlineStr">
        <is>
          <t>Quên mật khẩu</t>
        </is>
      </c>
      <c r="C5" s="11" t="inlineStr">
        <is>
          <t>Trong phạm vi</t>
        </is>
      </c>
      <c r="D5" s="47" t="inlineStr">
        <is>
          <t>T7</t>
        </is>
      </c>
      <c r="E5" s="47" t="inlineStr">
        <is>
          <t>T12</t>
        </is>
      </c>
    </row>
    <row r="6">
      <c r="A6" s="47" t="inlineStr">
        <is>
          <t>UC05</t>
        </is>
      </c>
      <c r="B6" s="47" t="inlineStr">
        <is>
          <t>Đổi mật khẩu</t>
        </is>
      </c>
      <c r="C6" s="11" t="inlineStr">
        <is>
          <t>Trong phạm vi</t>
        </is>
      </c>
      <c r="D6" s="47" t="inlineStr">
        <is>
          <t>T7</t>
        </is>
      </c>
      <c r="E6" s="47" t="inlineStr">
        <is>
          <t>T12</t>
        </is>
      </c>
    </row>
    <row r="7">
      <c r="A7" s="47" t="inlineStr">
        <is>
          <t>UC06</t>
        </is>
      </c>
      <c r="B7" s="47" t="inlineStr">
        <is>
          <t>Quản lý hồ sơ cá nhân</t>
        </is>
      </c>
      <c r="C7" s="11" t="inlineStr">
        <is>
          <t>Trong phạm vi</t>
        </is>
      </c>
      <c r="D7" s="47" t="inlineStr">
        <is>
          <t>T8</t>
        </is>
      </c>
      <c r="E7" s="47" t="inlineStr">
        <is>
          <t>T13</t>
        </is>
      </c>
    </row>
    <row r="8">
      <c r="A8" s="47" t="inlineStr">
        <is>
          <t>UC07</t>
        </is>
      </c>
      <c r="B8" s="47" t="inlineStr">
        <is>
          <t>Liên kết tài khoản với hồ sơ khách</t>
        </is>
      </c>
      <c r="C8" s="11" t="inlineStr">
        <is>
          <t>Trong phạm vi</t>
        </is>
      </c>
      <c r="D8" s="47" t="inlineStr">
        <is>
          <t>T8</t>
        </is>
      </c>
      <c r="E8" s="47" t="inlineStr">
        <is>
          <t>T13</t>
        </is>
      </c>
    </row>
    <row r="9">
      <c r="A9" s="47" t="inlineStr">
        <is>
          <t>UC08</t>
        </is>
      </c>
      <c r="B9" s="47" t="inlineStr">
        <is>
          <t>Quản lý tài khoản nhân viên</t>
        </is>
      </c>
      <c r="C9" s="11" t="inlineStr">
        <is>
          <t>Trong phạm vi</t>
        </is>
      </c>
      <c r="D9" s="47" t="inlineStr">
        <is>
          <t>T14</t>
        </is>
      </c>
      <c r="E9" s="47" t="inlineStr">
        <is>
          <t>T22</t>
        </is>
      </c>
    </row>
    <row r="10">
      <c r="A10" s="47" t="inlineStr">
        <is>
          <t>UC09</t>
        </is>
      </c>
      <c r="B10" s="47" t="inlineStr">
        <is>
          <t>Khóa / mở khóa người dùng</t>
        </is>
      </c>
      <c r="C10" s="11" t="inlineStr">
        <is>
          <t>Trong phạm vi</t>
        </is>
      </c>
      <c r="D10" s="47" t="inlineStr">
        <is>
          <t>T14</t>
        </is>
      </c>
      <c r="E10" s="47" t="inlineStr">
        <is>
          <t>T22</t>
        </is>
      </c>
    </row>
    <row r="11">
      <c r="A11" s="47" t="inlineStr">
        <is>
          <t>UC10</t>
        </is>
      </c>
      <c r="B11" s="47" t="inlineStr">
        <is>
          <t>Cấu hình tham số &amp; mẫu thông báo</t>
        </is>
      </c>
      <c r="C11" s="11" t="inlineStr">
        <is>
          <t>Trong phạm vi</t>
        </is>
      </c>
      <c r="D11" s="47" t="inlineStr">
        <is>
          <t>T15</t>
        </is>
      </c>
      <c r="E11" s="47" t="inlineStr">
        <is>
          <t>T22</t>
        </is>
      </c>
    </row>
    <row r="12">
      <c r="A12" s="47" t="inlineStr">
        <is>
          <t>UC11</t>
        </is>
      </c>
      <c r="B12" s="47" t="inlineStr">
        <is>
          <t>Xem nhật ký audit</t>
        </is>
      </c>
      <c r="C12" s="11" t="inlineStr">
        <is>
          <t>Trong phạm vi</t>
        </is>
      </c>
      <c r="D12" s="47" t="inlineStr">
        <is>
          <t>T15</t>
        </is>
      </c>
      <c r="E12" s="47" t="inlineStr">
        <is>
          <t>T22</t>
        </is>
      </c>
    </row>
    <row r="13">
      <c r="A13" s="47" t="inlineStr">
        <is>
          <t>UC12</t>
        </is>
      </c>
      <c r="B13" s="47" t="inlineStr">
        <is>
          <t>Quản lý chi nhánh</t>
        </is>
      </c>
      <c r="C13" s="11" t="inlineStr">
        <is>
          <t>Trong phạm vi</t>
        </is>
      </c>
      <c r="D13" s="47" t="inlineStr">
        <is>
          <t>T10</t>
        </is>
      </c>
      <c r="E13" s="47" t="inlineStr">
        <is>
          <t>T20</t>
        </is>
      </c>
    </row>
    <row r="14">
      <c r="A14" s="47" t="inlineStr">
        <is>
          <t>UC13</t>
        </is>
      </c>
      <c r="B14" s="47" t="inlineStr">
        <is>
          <t>Tạm ngừng / đóng cửa chi nhánh</t>
        </is>
      </c>
      <c r="C14" s="50" t="inlineStr">
        <is>
          <t>Tầng 3 — không làm (04)</t>
        </is>
      </c>
      <c r="D14" s="47" t="inlineStr"/>
      <c r="E14" s="47" t="inlineStr"/>
    </row>
    <row r="15">
      <c r="A15" s="47" t="inlineStr">
        <is>
          <t>UC14</t>
        </is>
      </c>
      <c r="B15" s="47" t="inlineStr">
        <is>
          <t>Cấu hình giờ mở cửa &amp; ngày nghỉ</t>
        </is>
      </c>
      <c r="C15" s="11" t="inlineStr">
        <is>
          <t>Trong phạm vi</t>
        </is>
      </c>
      <c r="D15" s="47" t="inlineStr">
        <is>
          <t>T10</t>
        </is>
      </c>
      <c r="E15" s="47" t="inlineStr">
        <is>
          <t>T20</t>
        </is>
      </c>
    </row>
    <row r="16">
      <c r="A16" s="47" t="inlineStr">
        <is>
          <t>UC15</t>
        </is>
      </c>
      <c r="B16" s="47" t="inlineStr">
        <is>
          <t>Xem dịch vụ, chi nhánh, bác sĩ</t>
        </is>
      </c>
      <c r="C16" s="11" t="inlineStr">
        <is>
          <t>Trong phạm vi</t>
        </is>
      </c>
      <c r="D16" s="47" t="inlineStr">
        <is>
          <t>T32</t>
        </is>
      </c>
      <c r="E16" s="47" t="inlineStr">
        <is>
          <t>T46</t>
        </is>
      </c>
    </row>
    <row r="17">
      <c r="A17" s="47" t="inlineStr">
        <is>
          <t>UC16</t>
        </is>
      </c>
      <c r="B17" s="47" t="inlineStr">
        <is>
          <t>Xem &amp; tìm kiếm sản phẩm</t>
        </is>
      </c>
      <c r="C17" s="11" t="inlineStr">
        <is>
          <t>Trong phạm vi</t>
        </is>
      </c>
      <c r="D17" s="47" t="inlineStr">
        <is>
          <t>T32</t>
        </is>
      </c>
      <c r="E17" s="47" t="inlineStr">
        <is>
          <t>T46</t>
        </is>
      </c>
    </row>
    <row r="18">
      <c r="A18" s="47" t="inlineStr">
        <is>
          <t>UC17</t>
        </is>
      </c>
      <c r="B18" s="47" t="inlineStr">
        <is>
          <t>Xem bài viết</t>
        </is>
      </c>
      <c r="C18" s="11" t="inlineStr">
        <is>
          <t>Trong phạm vi</t>
        </is>
      </c>
      <c r="D18" s="47" t="inlineStr">
        <is>
          <t>T32</t>
        </is>
      </c>
      <c r="E18" s="47" t="inlineStr">
        <is>
          <t>T46</t>
        </is>
      </c>
    </row>
    <row r="19">
      <c r="A19" s="47" t="inlineStr">
        <is>
          <t>UC18</t>
        </is>
      </c>
      <c r="B19" s="47" t="inlineStr">
        <is>
          <t>Gửi liên hệ</t>
        </is>
      </c>
      <c r="C19" s="51" t="inlineStr">
        <is>
          <t>Đã bỏ (01)</t>
        </is>
      </c>
      <c r="D19" s="47" t="inlineStr"/>
      <c r="E19" s="47" t="inlineStr"/>
    </row>
    <row r="20">
      <c r="A20" s="47" t="inlineStr">
        <is>
          <t>UC19</t>
        </is>
      </c>
      <c r="B20" s="47" t="inlineStr">
        <is>
          <t>Xem đánh giá công khai</t>
        </is>
      </c>
      <c r="C20" s="51" t="inlineStr">
        <is>
          <t>Đã bỏ (01)</t>
        </is>
      </c>
      <c r="D20" s="47" t="inlineStr"/>
      <c r="E20" s="47" t="inlineStr"/>
    </row>
    <row r="21">
      <c r="A21" s="47" t="inlineStr">
        <is>
          <t>UC20</t>
        </is>
      </c>
      <c r="B21" s="47" t="inlineStr">
        <is>
          <t>Xử lý liên hệ</t>
        </is>
      </c>
      <c r="C21" s="51" t="inlineStr">
        <is>
          <t>Đã bỏ (01)</t>
        </is>
      </c>
      <c r="D21" s="47" t="inlineStr"/>
      <c r="E21" s="47" t="inlineStr"/>
    </row>
    <row r="22">
      <c r="A22" s="47" t="inlineStr">
        <is>
          <t>UC21</t>
        </is>
      </c>
      <c r="B22" s="47" t="inlineStr">
        <is>
          <t>Quản lý nội dung trang</t>
        </is>
      </c>
      <c r="C22" s="11" t="inlineStr">
        <is>
          <t>Trong phạm vi</t>
        </is>
      </c>
      <c r="D22" s="47" t="inlineStr">
        <is>
          <t>T32</t>
        </is>
      </c>
      <c r="E22" s="47" t="inlineStr">
        <is>
          <t>T47</t>
        </is>
      </c>
    </row>
    <row r="23">
      <c r="A23" s="47" t="inlineStr">
        <is>
          <t>UC22</t>
        </is>
      </c>
      <c r="B23" s="47" t="inlineStr">
        <is>
          <t>Quản lý hồ sơ khách tại quầy</t>
        </is>
      </c>
      <c r="C23" s="11" t="inlineStr">
        <is>
          <t>Trong phạm vi</t>
        </is>
      </c>
      <c r="D23" s="47" t="inlineStr">
        <is>
          <t>T17</t>
        </is>
      </c>
      <c r="E23" s="47" t="inlineStr">
        <is>
          <t>T23</t>
        </is>
      </c>
    </row>
    <row r="24">
      <c r="A24" s="47" t="inlineStr">
        <is>
          <t>UC23</t>
        </is>
      </c>
      <c r="B24" s="47" t="inlineStr">
        <is>
          <t>Tra cứu khách &amp; thú cưng</t>
        </is>
      </c>
      <c r="C24" s="11" t="inlineStr">
        <is>
          <t>Trong phạm vi</t>
        </is>
      </c>
      <c r="D24" s="47" t="inlineStr">
        <is>
          <t>T17</t>
        </is>
      </c>
      <c r="E24" s="47" t="inlineStr">
        <is>
          <t>T23</t>
        </is>
      </c>
    </row>
    <row r="25">
      <c r="A25" s="47" t="inlineStr">
        <is>
          <t>UC24</t>
        </is>
      </c>
      <c r="B25" s="47" t="inlineStr">
        <is>
          <t>Quản lý thú cưng</t>
        </is>
      </c>
      <c r="C25" s="11" t="inlineStr">
        <is>
          <t>Trong phạm vi</t>
        </is>
      </c>
      <c r="D25" s="47" t="inlineStr">
        <is>
          <t>T17</t>
        </is>
      </c>
      <c r="E25" s="47" t="inlineStr">
        <is>
          <t>T23</t>
        </is>
      </c>
    </row>
    <row r="26">
      <c r="A26" s="47" t="inlineStr">
        <is>
          <t>UC25</t>
        </is>
      </c>
      <c r="B26" s="47" t="inlineStr">
        <is>
          <t>Xem hồ sơ sức khỏe thú cưng</t>
        </is>
      </c>
      <c r="C26" s="11" t="inlineStr">
        <is>
          <t>Trong phạm vi</t>
        </is>
      </c>
      <c r="D26" s="47" t="inlineStr">
        <is>
          <t>T17</t>
        </is>
      </c>
      <c r="E26" s="47" t="inlineStr">
        <is>
          <t>T23</t>
        </is>
      </c>
    </row>
    <row r="27">
      <c r="A27" s="47" t="inlineStr">
        <is>
          <t>UC26</t>
        </is>
      </c>
      <c r="B27" s="47" t="inlineStr">
        <is>
          <t>Chuyển chủ thú cưng</t>
        </is>
      </c>
      <c r="C27" s="11" t="inlineStr">
        <is>
          <t>Trong phạm vi</t>
        </is>
      </c>
      <c r="D27" s="47" t="inlineStr">
        <is>
          <t>T17</t>
        </is>
      </c>
      <c r="E27" s="47" t="inlineStr">
        <is>
          <t>T23</t>
        </is>
      </c>
    </row>
    <row r="28">
      <c r="A28" s="47" t="inlineStr">
        <is>
          <t>UC27</t>
        </is>
      </c>
      <c r="B28" s="47" t="inlineStr">
        <is>
          <t>Gộp hồ sơ khách trùng</t>
        </is>
      </c>
      <c r="C28" s="50" t="inlineStr">
        <is>
          <t>Tầng 3 — không làm (04)</t>
        </is>
      </c>
      <c r="D28" s="47" t="inlineStr"/>
      <c r="E28" s="47" t="inlineStr"/>
    </row>
    <row r="29">
      <c r="A29" s="47" t="inlineStr">
        <is>
          <t>UC28</t>
        </is>
      </c>
      <c r="B29" s="47" t="inlineStr">
        <is>
          <t>Quản lý danh mục sản phẩm</t>
        </is>
      </c>
      <c r="C29" s="11" t="inlineStr">
        <is>
          <t>Trong phạm vi</t>
        </is>
      </c>
      <c r="D29" s="47" t="inlineStr">
        <is>
          <t>T9</t>
        </is>
      </c>
      <c r="E29" s="47" t="inlineStr">
        <is>
          <t>T21</t>
        </is>
      </c>
    </row>
    <row r="30">
      <c r="A30" s="47" t="inlineStr">
        <is>
          <t>UC29</t>
        </is>
      </c>
      <c r="B30" s="47" t="inlineStr">
        <is>
          <t>Quản lý sản phẩm</t>
        </is>
      </c>
      <c r="C30" s="11" t="inlineStr">
        <is>
          <t>Trong phạm vi</t>
        </is>
      </c>
      <c r="D30" s="47" t="inlineStr">
        <is>
          <t>T9</t>
        </is>
      </c>
      <c r="E30" s="47" t="inlineStr">
        <is>
          <t>T21</t>
        </is>
      </c>
    </row>
    <row r="31">
      <c r="A31" s="47" t="inlineStr">
        <is>
          <t>UC30</t>
        </is>
      </c>
      <c r="B31" s="47" t="inlineStr">
        <is>
          <t>Quản lý dịch vụ</t>
        </is>
      </c>
      <c r="C31" s="11" t="inlineStr">
        <is>
          <t>Trong phạm vi</t>
        </is>
      </c>
      <c r="D31" s="47" t="inlineStr">
        <is>
          <t>T9</t>
        </is>
      </c>
      <c r="E31" s="47" t="inlineStr">
        <is>
          <t>T21</t>
        </is>
      </c>
    </row>
    <row r="32">
      <c r="A32" s="47" t="inlineStr">
        <is>
          <t>UC31</t>
        </is>
      </c>
      <c r="B32" s="47" t="inlineStr">
        <is>
          <t>Quản lý loại vaccine &amp; phác đồ</t>
        </is>
      </c>
      <c r="C32" s="11" t="inlineStr">
        <is>
          <t>Trong phạm vi</t>
        </is>
      </c>
      <c r="D32" s="47" t="inlineStr">
        <is>
          <t>T9</t>
        </is>
      </c>
      <c r="E32" s="47" t="inlineStr">
        <is>
          <t>T21</t>
        </is>
      </c>
    </row>
    <row r="33">
      <c r="A33" s="47" t="inlineStr">
        <is>
          <t>UC32</t>
        </is>
      </c>
      <c r="B33" s="47" t="inlineStr">
        <is>
          <t>Cấu hình phí vận chuyển &amp; phí khám tại nhà</t>
        </is>
      </c>
      <c r="C33" s="16" t="inlineStr">
        <is>
          <t>Giả định tầng 3: chỉ phục vụ đơn online &amp; khám tại nhà</t>
        </is>
      </c>
      <c r="D33" s="47" t="inlineStr"/>
      <c r="E33" s="47" t="inlineStr"/>
    </row>
    <row r="34">
      <c r="A34" s="47" t="inlineStr">
        <is>
          <t>UC33</t>
        </is>
      </c>
      <c r="B34" s="47" t="inlineStr">
        <is>
          <t>Bật / tắt dịch vụ tại chi nhánh</t>
        </is>
      </c>
      <c r="C34" s="11" t="inlineStr">
        <is>
          <t>Trong phạm vi</t>
        </is>
      </c>
      <c r="D34" s="47" t="inlineStr">
        <is>
          <t>T11</t>
        </is>
      </c>
      <c r="E34" s="47" t="inlineStr">
        <is>
          <t>T20</t>
        </is>
      </c>
    </row>
    <row r="35">
      <c r="A35" s="47" t="inlineStr">
        <is>
          <t>UC34</t>
        </is>
      </c>
      <c r="B35" s="47" t="inlineStr">
        <is>
          <t>Quản lý ca làm việc</t>
        </is>
      </c>
      <c r="C35" s="50" t="inlineStr">
        <is>
          <t>Tầng 3 — không làm (04)</t>
        </is>
      </c>
      <c r="D35" s="47" t="inlineStr"/>
      <c r="E35" s="47" t="inlineStr"/>
    </row>
    <row r="36">
      <c r="A36" s="47" t="inlineStr">
        <is>
          <t>UC35</t>
        </is>
      </c>
      <c r="B36" s="47" t="inlineStr">
        <is>
          <t>Xem lịch làm việc của tôi</t>
        </is>
      </c>
      <c r="C36" s="50" t="inlineStr">
        <is>
          <t>Tầng 3 — không làm (04)</t>
        </is>
      </c>
      <c r="D36" s="47" t="inlineStr"/>
      <c r="E36" s="47" t="inlineStr"/>
    </row>
    <row r="37">
      <c r="A37" s="47" t="inlineStr">
        <is>
          <t>UC36</t>
        </is>
      </c>
      <c r="B37" s="47" t="inlineStr">
        <is>
          <t>Gửi / rút yêu cầu nghỉ, đổi ca</t>
        </is>
      </c>
      <c r="C37" s="50" t="inlineStr">
        <is>
          <t>Tầng 3 — không làm (04)</t>
        </is>
      </c>
      <c r="D37" s="47" t="inlineStr"/>
      <c r="E37" s="47" t="inlineStr"/>
    </row>
    <row r="38">
      <c r="A38" s="47" t="inlineStr">
        <is>
          <t>UC37</t>
        </is>
      </c>
      <c r="B38" s="47" t="inlineStr">
        <is>
          <t>Duyệt yêu cầu nghỉ, đổi ca</t>
        </is>
      </c>
      <c r="C38" s="50" t="inlineStr">
        <is>
          <t>Tầng 3 — không làm (04)</t>
        </is>
      </c>
      <c r="D38" s="47" t="inlineStr"/>
      <c r="E38" s="47" t="inlineStr"/>
    </row>
    <row r="39">
      <c r="A39" s="47" t="inlineStr">
        <is>
          <t>UC38</t>
        </is>
      </c>
      <c r="B39" s="47" t="inlineStr">
        <is>
          <t>Ghi nhận vắng đột xuất</t>
        </is>
      </c>
      <c r="C39" s="50" t="inlineStr">
        <is>
          <t>Tầng 3 — không làm (04)</t>
        </is>
      </c>
      <c r="D39" s="47" t="inlineStr"/>
      <c r="E39" s="47" t="inlineStr"/>
    </row>
    <row r="40">
      <c r="A40" s="47" t="inlineStr">
        <is>
          <t>UC39</t>
        </is>
      </c>
      <c r="B40" s="47" t="inlineStr">
        <is>
          <t>Đặt lịch hẹn</t>
        </is>
      </c>
      <c r="C40" s="11" t="inlineStr">
        <is>
          <t>Trong phạm vi</t>
        </is>
      </c>
      <c r="D40" s="47" t="inlineStr">
        <is>
          <t>T16</t>
        </is>
      </c>
      <c r="E40" s="47" t="inlineStr">
        <is>
          <t>T33</t>
        </is>
      </c>
    </row>
    <row r="41">
      <c r="A41" s="47" t="inlineStr">
        <is>
          <t>UC40</t>
        </is>
      </c>
      <c r="B41" s="47" t="inlineStr">
        <is>
          <t>Quản lý lịch hẹn</t>
        </is>
      </c>
      <c r="C41" s="11" t="inlineStr">
        <is>
          <t>Trong phạm vi</t>
        </is>
      </c>
      <c r="D41" s="47" t="inlineStr">
        <is>
          <t>T16</t>
        </is>
      </c>
      <c r="E41" s="47" t="inlineStr">
        <is>
          <t>T33</t>
        </is>
      </c>
    </row>
    <row r="42">
      <c r="A42" s="47" t="inlineStr">
        <is>
          <t>UC41</t>
        </is>
      </c>
      <c r="B42" s="47" t="inlineStr">
        <is>
          <t>Phân công nhân sự cho lịch hẹn</t>
        </is>
      </c>
      <c r="C42" s="51" t="inlineStr">
        <is>
          <t>Đã bỏ (01)</t>
        </is>
      </c>
      <c r="D42" s="47" t="inlineStr"/>
      <c r="E42" s="47" t="inlineStr"/>
    </row>
    <row r="43">
      <c r="A43" s="47" t="inlineStr">
        <is>
          <t>UC42</t>
        </is>
      </c>
      <c r="B43" s="47" t="inlineStr">
        <is>
          <t>Thiết lập quota lịch hẹn</t>
        </is>
      </c>
      <c r="C43" s="11" t="inlineStr">
        <is>
          <t>Trong phạm vi</t>
        </is>
      </c>
      <c r="D43" s="47" t="inlineStr">
        <is>
          <t>T11</t>
        </is>
      </c>
      <c r="E43" s="47" t="inlineStr">
        <is>
          <t>T20</t>
        </is>
      </c>
    </row>
    <row r="44">
      <c r="A44" s="47" t="inlineStr">
        <is>
          <t>UC43</t>
        </is>
      </c>
      <c r="B44" s="47" t="inlineStr">
        <is>
          <t>Đặt lịch khám tại nhà</t>
        </is>
      </c>
      <c r="C44" s="50" t="inlineStr">
        <is>
          <t>Tầng 3 — không làm (04)</t>
        </is>
      </c>
      <c r="D44" s="47" t="inlineStr"/>
      <c r="E44" s="47" t="inlineStr"/>
    </row>
    <row r="45">
      <c r="A45" s="47" t="inlineStr">
        <is>
          <t>UC44</t>
        </is>
      </c>
      <c r="B45" s="47" t="inlineStr">
        <is>
          <t>Tiếp nhận khách</t>
        </is>
      </c>
      <c r="C45" s="11" t="inlineStr">
        <is>
          <t>Trong phạm vi</t>
        </is>
      </c>
      <c r="D45" s="47" t="inlineStr">
        <is>
          <t>T26</t>
        </is>
      </c>
      <c r="E45" s="47" t="inlineStr">
        <is>
          <t>T36</t>
        </is>
      </c>
    </row>
    <row r="46">
      <c r="A46" s="47" t="inlineStr">
        <is>
          <t>UC45</t>
        </is>
      </c>
      <c r="B46" s="47" t="inlineStr">
        <is>
          <t>Điều phối hàng đợi</t>
        </is>
      </c>
      <c r="C46" s="11" t="inlineStr">
        <is>
          <t>Trong phạm vi</t>
        </is>
      </c>
      <c r="D46" s="47" t="inlineStr">
        <is>
          <t>T26</t>
        </is>
      </c>
      <c r="E46" s="47" t="inlineStr">
        <is>
          <t>T36</t>
        </is>
      </c>
    </row>
    <row r="47">
      <c r="A47" s="47" t="inlineStr">
        <is>
          <t>UC46</t>
        </is>
      </c>
      <c r="B47" s="47" t="inlineStr">
        <is>
          <t>Xem hàng đợi của tôi &amp; gọi lượt</t>
        </is>
      </c>
      <c r="C47" s="11" t="inlineStr">
        <is>
          <t>Trong phạm vi</t>
        </is>
      </c>
      <c r="D47" s="47" t="inlineStr">
        <is>
          <t>T26</t>
        </is>
      </c>
      <c r="E47" s="47" t="inlineStr">
        <is>
          <t>T36</t>
        </is>
      </c>
    </row>
    <row r="48">
      <c r="A48" s="47" t="inlineStr">
        <is>
          <t>UC47</t>
        </is>
      </c>
      <c r="B48" s="47" t="inlineStr">
        <is>
          <t>Xác định ca cấp cứu</t>
        </is>
      </c>
      <c r="C48" s="11" t="inlineStr">
        <is>
          <t>Trong phạm vi</t>
        </is>
      </c>
      <c r="D48" s="47" t="inlineStr">
        <is>
          <t>T26</t>
        </is>
      </c>
      <c r="E48" s="47" t="inlineStr">
        <is>
          <t>T36</t>
        </is>
      </c>
    </row>
    <row r="49">
      <c r="A49" s="47" t="inlineStr">
        <is>
          <t>UC48</t>
        </is>
      </c>
      <c r="B49" s="47" t="inlineStr">
        <is>
          <t>Khám bệnh</t>
        </is>
      </c>
      <c r="C49" s="11" t="inlineStr">
        <is>
          <t>Trong phạm vi</t>
        </is>
      </c>
      <c r="D49" s="47" t="inlineStr">
        <is>
          <t>T27, T38</t>
        </is>
      </c>
      <c r="E49" s="47" t="inlineStr">
        <is>
          <t>T37, T46</t>
        </is>
      </c>
    </row>
    <row r="50">
      <c r="A50" s="47" t="inlineStr">
        <is>
          <t>UC49</t>
        </is>
      </c>
      <c r="B50" s="47" t="inlineStr">
        <is>
          <t>Tiêm chủng</t>
        </is>
      </c>
      <c r="C50" s="11" t="inlineStr">
        <is>
          <t>Trong phạm vi</t>
        </is>
      </c>
      <c r="D50" s="47" t="inlineStr">
        <is>
          <t>T28</t>
        </is>
      </c>
      <c r="E50" s="47" t="inlineStr">
        <is>
          <t>T37</t>
        </is>
      </c>
    </row>
    <row r="51">
      <c r="A51" s="47" t="inlineStr">
        <is>
          <t>UC50</t>
        </is>
      </c>
      <c r="B51" s="47" t="inlineStr">
        <is>
          <t>Phẫu thuật</t>
        </is>
      </c>
      <c r="C51" s="50" t="inlineStr">
        <is>
          <t>Tầng 3 — không làm (04)</t>
        </is>
      </c>
      <c r="D51" s="47" t="inlineStr"/>
      <c r="E51" s="47" t="inlineStr"/>
    </row>
    <row r="52">
      <c r="A52" s="47" t="inlineStr">
        <is>
          <t>UC51</t>
        </is>
      </c>
      <c r="B52" s="47" t="inlineStr">
        <is>
          <t>Khám tại nhà</t>
        </is>
      </c>
      <c r="C52" s="50" t="inlineStr">
        <is>
          <t>Tầng 3 — không làm (04)</t>
        </is>
      </c>
      <c r="D52" s="47" t="inlineStr"/>
      <c r="E52" s="47" t="inlineStr"/>
    </row>
    <row r="53">
      <c r="A53" s="47" t="inlineStr">
        <is>
          <t>UC52</t>
        </is>
      </c>
      <c r="B53" s="47" t="inlineStr">
        <is>
          <t>Thực hiện dịch vụ thẩm mỹ</t>
        </is>
      </c>
      <c r="C53" s="11" t="inlineStr">
        <is>
          <t>Trong phạm vi</t>
        </is>
      </c>
      <c r="D53" s="47" t="inlineStr">
        <is>
          <t>T27</t>
        </is>
      </c>
      <c r="E53" s="47" t="inlineStr">
        <is>
          <t>T37</t>
        </is>
      </c>
    </row>
    <row r="54">
      <c r="A54" s="47" t="inlineStr">
        <is>
          <t>UC53</t>
        </is>
      </c>
      <c r="B54" s="47" t="inlineStr">
        <is>
          <t>Xem &amp; bổ sung bệnh án</t>
        </is>
      </c>
      <c r="C54" s="11" t="inlineStr">
        <is>
          <t>Trong phạm vi</t>
        </is>
      </c>
      <c r="D54" s="47" t="inlineStr">
        <is>
          <t>T27</t>
        </is>
      </c>
      <c r="E54" s="47" t="inlineStr">
        <is>
          <t>T37</t>
        </is>
      </c>
    </row>
    <row r="55">
      <c r="A55" s="47" t="inlineStr">
        <is>
          <t>UC54</t>
        </is>
      </c>
      <c r="B55" s="47" t="inlineStr">
        <is>
          <t>Quản lý chuồng</t>
        </is>
      </c>
      <c r="C55" s="11" t="inlineStr">
        <is>
          <t>Trong phạm vi</t>
        </is>
      </c>
      <c r="D55" s="47" t="inlineStr">
        <is>
          <t>T31</t>
        </is>
      </c>
      <c r="E55" s="47" t="inlineStr">
        <is>
          <t>T48</t>
        </is>
      </c>
    </row>
    <row r="56">
      <c r="A56" s="47" t="inlineStr">
        <is>
          <t>UC55</t>
        </is>
      </c>
      <c r="B56" s="47" t="inlineStr">
        <is>
          <t>Nhập / xuất viện</t>
        </is>
      </c>
      <c r="C56" s="50" t="inlineStr">
        <is>
          <t>Tầng 3 — không làm (04)</t>
        </is>
      </c>
      <c r="D56" s="47" t="inlineStr"/>
      <c r="E56" s="47" t="inlineStr"/>
    </row>
    <row r="57">
      <c r="A57" s="47" t="inlineStr">
        <is>
          <t>UC56</t>
        </is>
      </c>
      <c r="B57" s="47" t="inlineStr">
        <is>
          <t>Điều trị nội trú</t>
        </is>
      </c>
      <c r="C57" s="50" t="inlineStr">
        <is>
          <t>Tầng 3 — không làm (04)</t>
        </is>
      </c>
      <c r="D57" s="47" t="inlineStr"/>
      <c r="E57" s="47" t="inlineStr"/>
    </row>
    <row r="58">
      <c r="A58" s="47" t="inlineStr">
        <is>
          <t>UC57</t>
        </is>
      </c>
      <c r="B58" s="47" t="inlineStr">
        <is>
          <t>Ghi nhật ký chăm sóc</t>
        </is>
      </c>
      <c r="C58" s="11" t="inlineStr">
        <is>
          <t>Trong phạm vi</t>
        </is>
      </c>
      <c r="D58" s="47" t="inlineStr">
        <is>
          <t>T42</t>
        </is>
      </c>
      <c r="E58" s="47" t="inlineStr">
        <is>
          <t>T48</t>
        </is>
      </c>
    </row>
    <row r="59">
      <c r="A59" s="47" t="inlineStr">
        <is>
          <t>UC58</t>
        </is>
      </c>
      <c r="B59" s="47" t="inlineStr">
        <is>
          <t>Đặt chỗ lưu trú</t>
        </is>
      </c>
      <c r="C59" s="11" t="inlineStr">
        <is>
          <t>Trong phạm vi</t>
        </is>
      </c>
      <c r="D59" s="47" t="inlineStr">
        <is>
          <t>T31</t>
        </is>
      </c>
      <c r="E59" s="47" t="inlineStr">
        <is>
          <t>T48</t>
        </is>
      </c>
    </row>
    <row r="60">
      <c r="A60" s="47" t="inlineStr">
        <is>
          <t>UC59</t>
        </is>
      </c>
      <c r="B60" s="47" t="inlineStr">
        <is>
          <t>Nhận / trả thú cưng lưu trú</t>
        </is>
      </c>
      <c r="C60" s="11" t="inlineStr">
        <is>
          <t>Trong phạm vi</t>
        </is>
      </c>
      <c r="D60" s="47" t="inlineStr">
        <is>
          <t>T42, T43</t>
        </is>
      </c>
      <c r="E60" s="47" t="inlineStr">
        <is>
          <t>T48</t>
        </is>
      </c>
    </row>
    <row r="61">
      <c r="A61" s="47" t="inlineStr">
        <is>
          <t>UC60</t>
        </is>
      </c>
      <c r="B61" s="47" t="inlineStr">
        <is>
          <t>Xem lưu trú &amp; nhật ký chăm sóc</t>
        </is>
      </c>
      <c r="C61" s="11" t="inlineStr">
        <is>
          <t>Trong phạm vi</t>
        </is>
      </c>
      <c r="D61" s="47" t="inlineStr">
        <is>
          <t>T42</t>
        </is>
      </c>
      <c r="E61" s="47" t="inlineStr">
        <is>
          <t>T48</t>
        </is>
      </c>
    </row>
    <row r="62">
      <c r="A62" s="47" t="inlineStr">
        <is>
          <t>UC61</t>
        </is>
      </c>
      <c r="B62" s="47" t="inlineStr">
        <is>
          <t>Quản lý giỏ hàng</t>
        </is>
      </c>
      <c r="C62" s="50" t="inlineStr">
        <is>
          <t>Tầng 3 — không làm (04)</t>
        </is>
      </c>
      <c r="D62" s="47" t="inlineStr"/>
      <c r="E62" s="47" t="inlineStr"/>
    </row>
    <row r="63">
      <c r="A63" s="47" t="inlineStr">
        <is>
          <t>UC62</t>
        </is>
      </c>
      <c r="B63" s="47" t="inlineStr">
        <is>
          <t>Đặt hàng online</t>
        </is>
      </c>
      <c r="C63" s="50" t="inlineStr">
        <is>
          <t>Tầng 3 — không làm (04)</t>
        </is>
      </c>
      <c r="D63" s="47" t="inlineStr"/>
      <c r="E63" s="47" t="inlineStr"/>
    </row>
    <row r="64">
      <c r="A64" s="47" t="inlineStr">
        <is>
          <t>UC63</t>
        </is>
      </c>
      <c r="B64" s="47" t="inlineStr">
        <is>
          <t>Thanh toán online</t>
        </is>
      </c>
      <c r="C64" s="50" t="inlineStr">
        <is>
          <t>Tầng 3 — không làm (04)</t>
        </is>
      </c>
      <c r="D64" s="47" t="inlineStr"/>
      <c r="E64" s="47" t="inlineStr"/>
    </row>
    <row r="65">
      <c r="A65" s="47" t="inlineStr">
        <is>
          <t>UC64</t>
        </is>
      </c>
      <c r="B65" s="47" t="inlineStr">
        <is>
          <t>Quản lý đơn hàng của tôi</t>
        </is>
      </c>
      <c r="C65" s="50" t="inlineStr">
        <is>
          <t>Tầng 3 — không làm (04)</t>
        </is>
      </c>
      <c r="D65" s="47" t="inlineStr"/>
      <c r="E65" s="47" t="inlineStr"/>
    </row>
    <row r="66">
      <c r="A66" s="47" t="inlineStr">
        <is>
          <t>UC65</t>
        </is>
      </c>
      <c r="B66" s="47" t="inlineStr">
        <is>
          <t>Xử lý &amp; giao đơn online</t>
        </is>
      </c>
      <c r="C66" s="50" t="inlineStr">
        <is>
          <t>Tầng 3 — không làm (04)</t>
        </is>
      </c>
      <c r="D66" s="47" t="inlineStr"/>
      <c r="E66" s="47" t="inlineStr"/>
    </row>
    <row r="67">
      <c r="A67" s="47" t="inlineStr">
        <is>
          <t>UC66</t>
        </is>
      </c>
      <c r="B67" s="47" t="inlineStr">
        <is>
          <t>Bán hàng &amp; chốt Order tại quầy</t>
        </is>
      </c>
      <c r="C67" s="11" t="inlineStr">
        <is>
          <t>Trong phạm vi</t>
        </is>
      </c>
      <c r="D67" s="47" t="inlineStr">
        <is>
          <t>T29</t>
        </is>
      </c>
      <c r="E67" s="47" t="inlineStr">
        <is>
          <t>T34</t>
        </is>
      </c>
    </row>
    <row r="68">
      <c r="A68" s="47" t="inlineStr">
        <is>
          <t>UC67</t>
        </is>
      </c>
      <c r="B68" s="47" t="inlineStr">
        <is>
          <t>Thêm dịch vụ / hàng vào Order</t>
        </is>
      </c>
      <c r="C68" s="11" t="inlineStr">
        <is>
          <t>Trong phạm vi</t>
        </is>
      </c>
      <c r="D68" s="47" t="inlineStr">
        <is>
          <t>T19</t>
        </is>
      </c>
      <c r="E68" s="47" t="inlineStr">
        <is>
          <t>T34</t>
        </is>
      </c>
    </row>
    <row r="69">
      <c r="A69" s="47" t="inlineStr">
        <is>
          <t>UC68</t>
        </is>
      </c>
      <c r="B69" s="47" t="inlineStr">
        <is>
          <t>Tạo yêu cầu trả hàng</t>
        </is>
      </c>
      <c r="C69" s="50" t="inlineStr">
        <is>
          <t>Tầng 3 — không làm (04)</t>
        </is>
      </c>
      <c r="D69" s="47" t="inlineStr"/>
      <c r="E69" s="47" t="inlineStr"/>
    </row>
    <row r="70">
      <c r="A70" s="47" t="inlineStr">
        <is>
          <t>UC69</t>
        </is>
      </c>
      <c r="B70" s="47" t="inlineStr">
        <is>
          <t>Duyệt yêu cầu trả hàng</t>
        </is>
      </c>
      <c r="C70" s="50" t="inlineStr">
        <is>
          <t>Tầng 3 — không làm (04)</t>
        </is>
      </c>
      <c r="D70" s="47" t="inlineStr"/>
      <c r="E70" s="47" t="inlineStr"/>
    </row>
    <row r="71">
      <c r="A71" s="47" t="inlineStr">
        <is>
          <t>UC70</t>
        </is>
      </c>
      <c r="B71" s="47" t="inlineStr">
        <is>
          <t>Thu tiền tại quầy</t>
        </is>
      </c>
      <c r="C71" s="11" t="inlineStr">
        <is>
          <t>Trong phạm vi</t>
        </is>
      </c>
      <c r="D71" s="47" t="inlineStr">
        <is>
          <t>T30</t>
        </is>
      </c>
      <c r="E71" s="47" t="inlineStr">
        <is>
          <t>T35</t>
        </is>
      </c>
    </row>
    <row r="72">
      <c r="A72" s="47" t="inlineStr">
        <is>
          <t>UC71</t>
        </is>
      </c>
      <c r="B72" s="47" t="inlineStr">
        <is>
          <t>Mở / chốt ca thu ngân</t>
        </is>
      </c>
      <c r="C72" s="11" t="inlineStr">
        <is>
          <t>Trong phạm vi</t>
        </is>
      </c>
      <c r="D72" s="47" t="inlineStr">
        <is>
          <t>T30</t>
        </is>
      </c>
      <c r="E72" s="47" t="inlineStr">
        <is>
          <t>T35</t>
        </is>
      </c>
    </row>
    <row r="73">
      <c r="A73" s="47" t="inlineStr">
        <is>
          <t>UC72</t>
        </is>
      </c>
      <c r="B73" s="47" t="inlineStr">
        <is>
          <t>Đối soát ca thu ngân</t>
        </is>
      </c>
      <c r="C73" s="11" t="inlineStr">
        <is>
          <t>Trong phạm vi</t>
        </is>
      </c>
      <c r="D73" s="47" t="inlineStr">
        <is>
          <t>T30</t>
        </is>
      </c>
      <c r="E73" s="47" t="inlineStr">
        <is>
          <t>T35</t>
        </is>
      </c>
    </row>
    <row r="74">
      <c r="A74" s="47" t="inlineStr">
        <is>
          <t>UC73</t>
        </is>
      </c>
      <c r="B74" s="47" t="inlineStr">
        <is>
          <t>Quản lý nhà cung cấp</t>
        </is>
      </c>
      <c r="C74" s="11" t="inlineStr">
        <is>
          <t>Trong phạm vi</t>
        </is>
      </c>
      <c r="D74" s="47" t="inlineStr">
        <is>
          <t>T18</t>
        </is>
      </c>
      <c r="E74" s="47" t="inlineStr">
        <is>
          <t>T24</t>
        </is>
      </c>
    </row>
    <row r="75">
      <c r="A75" s="47" t="inlineStr">
        <is>
          <t>UC74</t>
        </is>
      </c>
      <c r="B75" s="47" t="inlineStr">
        <is>
          <t>Nhập kho</t>
        </is>
      </c>
      <c r="C75" s="11" t="inlineStr">
        <is>
          <t>Trong phạm vi</t>
        </is>
      </c>
      <c r="D75" s="47" t="inlineStr">
        <is>
          <t>T18</t>
        </is>
      </c>
      <c r="E75" s="47" t="inlineStr">
        <is>
          <t>T24</t>
        </is>
      </c>
    </row>
    <row r="76">
      <c r="A76" s="47" t="inlineStr">
        <is>
          <t>UC75</t>
        </is>
      </c>
      <c r="B76" s="47" t="inlineStr">
        <is>
          <t>Xem tồn kho &amp; tồn tối thiểu</t>
        </is>
      </c>
      <c r="C76" s="11" t="inlineStr">
        <is>
          <t>Trong phạm vi</t>
        </is>
      </c>
      <c r="D76" s="47" t="inlineStr">
        <is>
          <t>T18</t>
        </is>
      </c>
      <c r="E76" s="47" t="inlineStr">
        <is>
          <t>T24</t>
        </is>
      </c>
    </row>
    <row r="77">
      <c r="A77" s="47" t="inlineStr">
        <is>
          <t>UC76</t>
        </is>
      </c>
      <c r="B77" s="47" t="inlineStr">
        <is>
          <t>Điều chỉnh tồn kho</t>
        </is>
      </c>
      <c r="C77" s="11" t="inlineStr">
        <is>
          <t>Trong phạm vi</t>
        </is>
      </c>
      <c r="D77" s="47" t="inlineStr">
        <is>
          <t>T18</t>
        </is>
      </c>
      <c r="E77" s="47" t="inlineStr">
        <is>
          <t>T24</t>
        </is>
      </c>
    </row>
    <row r="78">
      <c r="A78" s="47" t="inlineStr">
        <is>
          <t>UC77</t>
        </is>
      </c>
      <c r="B78" s="47" t="inlineStr">
        <is>
          <t>Chuyển kho</t>
        </is>
      </c>
      <c r="C78" s="50" t="inlineStr">
        <is>
          <t>Tầng 3 — không làm (04)</t>
        </is>
      </c>
      <c r="D78" s="47" t="inlineStr"/>
      <c r="E78" s="47" t="inlineStr"/>
    </row>
    <row r="79">
      <c r="A79" s="47" t="inlineStr">
        <is>
          <t>UC78</t>
        </is>
      </c>
      <c r="B79" s="47" t="inlineStr">
        <is>
          <t>Kiểm kê kho</t>
        </is>
      </c>
      <c r="C79" s="50" t="inlineStr">
        <is>
          <t>Tầng 3 — không làm (04)</t>
        </is>
      </c>
      <c r="D79" s="47" t="inlineStr"/>
      <c r="E79" s="47" t="inlineStr"/>
    </row>
    <row r="80">
      <c r="A80" s="47" t="inlineStr">
        <is>
          <t>UC79</t>
        </is>
      </c>
      <c r="B80" s="47" t="inlineStr">
        <is>
          <t>Truy vết lô hàng</t>
        </is>
      </c>
      <c r="C80" s="50" t="inlineStr">
        <is>
          <t>Tầng 3 — không làm (04)</t>
        </is>
      </c>
      <c r="D80" s="47" t="inlineStr"/>
      <c r="E80" s="47" t="inlineStr"/>
    </row>
    <row r="81">
      <c r="A81" s="47" t="inlineStr">
        <is>
          <t>UC80</t>
        </is>
      </c>
      <c r="B81" s="47" t="inlineStr">
        <is>
          <t>Soạn &amp; gửi duyệt bài viết</t>
        </is>
      </c>
      <c r="C81" s="50" t="inlineStr">
        <is>
          <t>Tầng 3 — không làm (04)</t>
        </is>
      </c>
      <c r="D81" s="47" t="inlineStr"/>
      <c r="E81" s="47" t="inlineStr"/>
    </row>
    <row r="82">
      <c r="A82" s="47" t="inlineStr">
        <is>
          <t>UC81</t>
        </is>
      </c>
      <c r="B82" s="47" t="inlineStr">
        <is>
          <t>Quản lý bài viết &amp; chuyên mục</t>
        </is>
      </c>
      <c r="C82" s="11" t="inlineStr">
        <is>
          <t>Trong phạm vi</t>
        </is>
      </c>
      <c r="D82" s="47" t="inlineStr">
        <is>
          <t>T32</t>
        </is>
      </c>
      <c r="E82" s="47" t="inlineStr">
        <is>
          <t>T47</t>
        </is>
      </c>
    </row>
    <row r="83">
      <c r="A83" s="47" t="inlineStr">
        <is>
          <t>UC82</t>
        </is>
      </c>
      <c r="B83" s="47" t="inlineStr">
        <is>
          <t>Bình luận bài viết</t>
        </is>
      </c>
      <c r="C83" s="50" t="inlineStr">
        <is>
          <t>Tầng 3 — không làm (04)</t>
        </is>
      </c>
      <c r="D83" s="47" t="inlineStr"/>
      <c r="E83" s="47" t="inlineStr"/>
    </row>
    <row r="84">
      <c r="A84" s="47" t="inlineStr">
        <is>
          <t>UC83</t>
        </is>
      </c>
      <c r="B84" s="47" t="inlineStr">
        <is>
          <t>Gửi feedback</t>
        </is>
      </c>
      <c r="C84" s="11" t="inlineStr">
        <is>
          <t>Trong phạm vi</t>
        </is>
      </c>
      <c r="D84" s="47" t="inlineStr">
        <is>
          <t>T32</t>
        </is>
      </c>
      <c r="E84" s="47" t="inlineStr">
        <is>
          <t>T47</t>
        </is>
      </c>
    </row>
    <row r="85">
      <c r="A85" s="47" t="inlineStr">
        <is>
          <t>UC84</t>
        </is>
      </c>
      <c r="B85" s="47" t="inlineStr">
        <is>
          <t>Xem &amp; xử lý feedback</t>
        </is>
      </c>
      <c r="C85" s="11" t="inlineStr">
        <is>
          <t>Trong phạm vi</t>
        </is>
      </c>
      <c r="D85" s="47" t="inlineStr">
        <is>
          <t>T32</t>
        </is>
      </c>
      <c r="E85" s="47" t="inlineStr">
        <is>
          <t>T47</t>
        </is>
      </c>
    </row>
    <row r="86">
      <c r="A86" s="47" t="inlineStr">
        <is>
          <t>UC85</t>
        </is>
      </c>
      <c r="B86" s="47" t="inlineStr">
        <is>
          <t>Gửi &amp; theo dõi khiếu nại</t>
        </is>
      </c>
      <c r="C86" s="50" t="inlineStr">
        <is>
          <t>Tầng 3 — không làm (04)</t>
        </is>
      </c>
      <c r="D86" s="47" t="inlineStr"/>
      <c r="E86" s="47" t="inlineStr"/>
    </row>
    <row r="87">
      <c r="A87" s="47" t="inlineStr">
        <is>
          <t>UC86</t>
        </is>
      </c>
      <c r="B87" s="47" t="inlineStr">
        <is>
          <t>Xử lý khiếu nại</t>
        </is>
      </c>
      <c r="C87" s="50" t="inlineStr">
        <is>
          <t>Tầng 3 — không làm (04)</t>
        </is>
      </c>
      <c r="D87" s="47" t="inlineStr"/>
      <c r="E87" s="47" t="inlineStr"/>
    </row>
    <row r="88">
      <c r="A88" s="47" t="inlineStr">
        <is>
          <t>UC87</t>
        </is>
      </c>
      <c r="B88" s="47" t="inlineStr">
        <is>
          <t>Thực hiện Care Task</t>
        </is>
      </c>
      <c r="C88" s="11" t="inlineStr">
        <is>
          <t>Trong phạm vi</t>
        </is>
      </c>
      <c r="D88" s="47" t="inlineStr">
        <is>
          <t>T39</t>
        </is>
      </c>
      <c r="E88" s="47" t="inlineStr">
        <is>
          <t>T47</t>
        </is>
      </c>
    </row>
    <row r="89">
      <c r="A89" s="47" t="inlineStr">
        <is>
          <t>UC88</t>
        </is>
      </c>
      <c r="B89" s="47" t="inlineStr">
        <is>
          <t>Xem thông báo &amp; cài đặt</t>
        </is>
      </c>
      <c r="C89" s="11" t="inlineStr">
        <is>
          <t>Trong phạm vi</t>
        </is>
      </c>
      <c r="D89" s="47" t="inlineStr">
        <is>
          <t>T15</t>
        </is>
      </c>
      <c r="E89" s="47" t="inlineStr">
        <is>
          <t>T34</t>
        </is>
      </c>
    </row>
    <row r="90">
      <c r="A90" s="47" t="inlineStr">
        <is>
          <t>UC89</t>
        </is>
      </c>
      <c r="B90" s="47" t="inlineStr">
        <is>
          <t>Xem báo cáo</t>
        </is>
      </c>
      <c r="C90" s="11" t="inlineStr">
        <is>
          <t>Trong phạm vi</t>
        </is>
      </c>
      <c r="D90" s="47" t="inlineStr">
        <is>
          <t>T44</t>
        </is>
      </c>
      <c r="E90" s="47" t="inlineStr">
        <is>
          <t>T49</t>
        </is>
      </c>
    </row>
    <row r="91">
      <c r="A91" s="47" t="inlineStr">
        <is>
          <t>ST01</t>
        </is>
      </c>
      <c r="B91" s="47" t="inlineStr">
        <is>
          <t>Khóa tạm do đăng nhập sai</t>
        </is>
      </c>
      <c r="C91" s="13" t="inlineStr">
        <is>
          <t>Trong phạm vi</t>
        </is>
      </c>
      <c r="D91" s="47" t="inlineStr">
        <is>
          <t>T7</t>
        </is>
      </c>
      <c r="E91" s="47" t="inlineStr">
        <is>
          <t>—</t>
        </is>
      </c>
    </row>
    <row r="92">
      <c r="A92" s="47" t="inlineStr">
        <is>
          <t>ST02</t>
        </is>
      </c>
      <c r="B92" s="47" t="inlineStr">
        <is>
          <t>Dọn tài khoản chưa xác thực</t>
        </is>
      </c>
      <c r="C92" s="13" t="inlineStr">
        <is>
          <t>Trong phạm vi</t>
        </is>
      </c>
      <c r="D92" s="47" t="inlineStr">
        <is>
          <t>T6</t>
        </is>
      </c>
      <c r="E92" s="47" t="inlineStr">
        <is>
          <t>—</t>
        </is>
      </c>
    </row>
    <row r="93">
      <c r="A93" s="47" t="inlineStr">
        <is>
          <t>ST03</t>
        </is>
      </c>
      <c r="B93" s="47" t="inlineStr">
        <is>
          <t>Nhắc lịch hẹn</t>
        </is>
      </c>
      <c r="C93" s="13" t="inlineStr">
        <is>
          <t>Trong phạm vi</t>
        </is>
      </c>
      <c r="D93" s="47" t="inlineStr">
        <is>
          <t>T25</t>
        </is>
      </c>
      <c r="E93" s="47" t="inlineStr">
        <is>
          <t>—</t>
        </is>
      </c>
    </row>
    <row r="94">
      <c r="A94" s="47" t="inlineStr">
        <is>
          <t>ST04</t>
        </is>
      </c>
      <c r="B94" s="47" t="inlineStr">
        <is>
          <t>Nhắc tái chủng &amp; tái khám</t>
        </is>
      </c>
      <c r="C94" s="13" t="inlineStr">
        <is>
          <t>Trong phạm vi</t>
        </is>
      </c>
      <c r="D94" s="47" t="inlineStr">
        <is>
          <t>T39</t>
        </is>
      </c>
      <c r="E94" s="47" t="inlineStr">
        <is>
          <t>—</t>
        </is>
      </c>
    </row>
    <row r="95">
      <c r="A95" s="47" t="inlineStr">
        <is>
          <t>ST05</t>
        </is>
      </c>
      <c r="B95" s="47" t="inlineStr">
        <is>
          <t>Lịch hẹn &amp; đặt chỗ → NO_SHOW</t>
        </is>
      </c>
      <c r="C95" s="13" t="inlineStr">
        <is>
          <t>Trong phạm vi</t>
        </is>
      </c>
      <c r="D95" s="47" t="inlineStr">
        <is>
          <t>T25, T31</t>
        </is>
      </c>
      <c r="E95" s="47" t="inlineStr">
        <is>
          <t>—</t>
        </is>
      </c>
    </row>
    <row r="96">
      <c r="A96" s="47" t="inlineStr">
        <is>
          <t>ST06</t>
        </is>
      </c>
      <c r="B96" s="47" t="inlineStr">
        <is>
          <t>Trừ kho FEFO</t>
        </is>
      </c>
      <c r="C96" s="13" t="inlineStr">
        <is>
          <t>Trong phạm vi</t>
        </is>
      </c>
      <c r="D96" s="47" t="inlineStr">
        <is>
          <t>T28, T30</t>
        </is>
      </c>
      <c r="E96" s="47" t="inlineStr">
        <is>
          <t>—</t>
        </is>
      </c>
    </row>
    <row r="97">
      <c r="A97" s="47" t="inlineStr">
        <is>
          <t>ST07</t>
        </is>
      </c>
      <c r="B97" s="47" t="inlineStr">
        <is>
          <t>Trừ vật tư tiêu hao</t>
        </is>
      </c>
      <c r="C97" s="52" t="inlineStr">
        <is>
          <t>Tầng 3 — không làm (INDEX)</t>
        </is>
      </c>
      <c r="D97" s="47" t="inlineStr"/>
      <c r="E97" s="47" t="inlineStr">
        <is>
          <t>—</t>
        </is>
      </c>
    </row>
    <row r="98">
      <c r="A98" s="47" t="inlineStr">
        <is>
          <t>ST08</t>
        </is>
      </c>
      <c r="B98" s="47" t="inlineStr">
        <is>
          <t>Cảnh báo tồn kho &amp; hạn dùng</t>
        </is>
      </c>
      <c r="C98" s="13" t="inlineStr">
        <is>
          <t>Trong phạm vi</t>
        </is>
      </c>
      <c r="D98" s="47" t="inlineStr">
        <is>
          <t>T44</t>
        </is>
      </c>
      <c r="E98" s="47" t="inlineStr">
        <is>
          <t>—</t>
        </is>
      </c>
    </row>
    <row r="99">
      <c r="A99" s="47" t="inlineStr">
        <is>
          <t>ST09</t>
        </is>
      </c>
      <c r="B99" s="47" t="inlineStr">
        <is>
          <t>Tính phí vận chuyển</t>
        </is>
      </c>
      <c r="C99" s="52" t="inlineStr">
        <is>
          <t>Tầng 3 — không làm (INDEX)</t>
        </is>
      </c>
      <c r="D99" s="47" t="inlineStr"/>
      <c r="E99" s="47" t="inlineStr">
        <is>
          <t>—</t>
        </is>
      </c>
    </row>
    <row r="100">
      <c r="A100" s="47" t="inlineStr">
        <is>
          <t>ST10</t>
        </is>
      </c>
      <c r="B100" s="47" t="inlineStr">
        <is>
          <t>Hủy đơn chưa thanh toán</t>
        </is>
      </c>
      <c r="C100" s="52" t="inlineStr">
        <is>
          <t>Tầng 3 — không làm (INDEX)</t>
        </is>
      </c>
      <c r="D100" s="47" t="inlineStr"/>
      <c r="E100" s="47" t="inlineStr">
        <is>
          <t>—</t>
        </is>
      </c>
    </row>
    <row r="101">
      <c r="A101" s="47" t="inlineStr">
        <is>
          <t>ST11</t>
        </is>
      </c>
      <c r="B101" s="47" t="inlineStr">
        <is>
          <t>Hết hạn giao dịch thanh toán</t>
        </is>
      </c>
      <c r="C101" s="52" t="inlineStr">
        <is>
          <t>Tầng 3 — không làm (INDEX)</t>
        </is>
      </c>
      <c r="D101" s="47" t="inlineStr"/>
      <c r="E101" s="47" t="inlineStr">
        <is>
          <t>—</t>
        </is>
      </c>
    </row>
    <row r="102">
      <c r="A102" s="47" t="inlineStr">
        <is>
          <t>ST12</t>
        </is>
      </c>
      <c r="B102" s="47" t="inlineStr">
        <is>
          <t>Tự xác nhận đã nhận hàng</t>
        </is>
      </c>
      <c r="C102" s="52" t="inlineStr">
        <is>
          <t>Tầng 3 — không làm (INDEX)</t>
        </is>
      </c>
      <c r="D102" s="47" t="inlineStr"/>
      <c r="E102" s="47" t="inlineStr">
        <is>
          <t>—</t>
        </is>
      </c>
    </row>
    <row r="103">
      <c r="A103" s="47" t="inlineStr">
        <is>
          <t>ST13</t>
        </is>
      </c>
      <c r="B103" s="47" t="inlineStr">
        <is>
          <t>Tự chốt ca thu ngân &amp; cảnh báo Order PENDING</t>
        </is>
      </c>
      <c r="C103" s="13" t="inlineStr">
        <is>
          <t>Trong phạm vi</t>
        </is>
      </c>
      <c r="D103" s="47" t="inlineStr">
        <is>
          <t>T30</t>
        </is>
      </c>
      <c r="E103" s="47" t="inlineStr">
        <is>
          <t>—</t>
        </is>
      </c>
    </row>
    <row r="104">
      <c r="A104" s="47" t="inlineStr">
        <is>
          <t>ST14</t>
        </is>
      </c>
      <c r="B104" s="47" t="inlineStr">
        <is>
          <t>Đối soát cổng thanh toán</t>
        </is>
      </c>
      <c r="C104" s="52" t="inlineStr">
        <is>
          <t>Tầng 3 — không làm (INDEX)</t>
        </is>
      </c>
      <c r="D104" s="47" t="inlineStr"/>
      <c r="E104" s="47" t="inlineStr">
        <is>
          <t>—</t>
        </is>
      </c>
    </row>
    <row r="105">
      <c r="A105" s="47" t="inlineStr">
        <is>
          <t>ST15</t>
        </is>
      </c>
      <c r="B105" s="47" t="inlineStr">
        <is>
          <t>Lưu trú quá hạn đón (OVERDUE)</t>
        </is>
      </c>
      <c r="C105" s="13" t="inlineStr">
        <is>
          <t>Trong phạm vi</t>
        </is>
      </c>
      <c r="D105" s="47" t="inlineStr">
        <is>
          <t>T43</t>
        </is>
      </c>
      <c r="E105" s="47" t="inlineStr">
        <is>
          <t>—</t>
        </is>
      </c>
    </row>
    <row r="106">
      <c r="A106" s="47" t="inlineStr">
        <is>
          <t>ST16</t>
        </is>
      </c>
      <c r="B106" s="47" t="inlineStr">
        <is>
          <t>Leo thang khiếu nại</t>
        </is>
      </c>
      <c r="C106" s="52" t="inlineStr">
        <is>
          <t>Tầng 3 — không làm (INDEX)</t>
        </is>
      </c>
      <c r="D106" s="47" t="inlineStr"/>
      <c r="E106" s="47" t="inlineStr">
        <is>
          <t>—</t>
        </is>
      </c>
    </row>
    <row r="107">
      <c r="A107" s="47" t="inlineStr">
        <is>
          <t>ST17</t>
        </is>
      </c>
      <c r="B107" s="47" t="inlineStr">
        <is>
          <t>Tự đóng khiếu nại</t>
        </is>
      </c>
      <c r="C107" s="52" t="inlineStr">
        <is>
          <t>Tầng 3 — không làm (INDEX)</t>
        </is>
      </c>
      <c r="D107" s="47" t="inlineStr"/>
      <c r="E107" s="47" t="inlineStr">
        <is>
          <t>—</t>
        </is>
      </c>
    </row>
    <row r="108">
      <c r="A108" s="47" t="inlineStr">
        <is>
          <t>ST18</t>
        </is>
      </c>
      <c r="B108" s="47" t="inlineStr">
        <is>
          <t>Sinh Care Task</t>
        </is>
      </c>
      <c r="C108" s="13" t="inlineStr">
        <is>
          <t>Trong phạm vi</t>
        </is>
      </c>
      <c r="D108" s="47" t="inlineStr">
        <is>
          <t>T39</t>
        </is>
      </c>
      <c r="E108" s="47" t="inlineStr">
        <is>
          <t>—</t>
        </is>
      </c>
    </row>
    <row r="109">
      <c r="A109" s="47" t="inlineStr">
        <is>
          <t>ST19</t>
        </is>
      </c>
      <c r="B109" s="47" t="inlineStr">
        <is>
          <t>Hủy Care Task khi thú mất</t>
        </is>
      </c>
      <c r="C109" s="13" t="inlineStr">
        <is>
          <t>Trong phạm vi</t>
        </is>
      </c>
      <c r="D109" s="47" t="inlineStr">
        <is>
          <t>T39</t>
        </is>
      </c>
      <c r="E109" s="47" t="inlineStr">
        <is>
          <t>—</t>
        </is>
      </c>
    </row>
    <row r="110">
      <c r="A110" s="47" t="inlineStr">
        <is>
          <t>ST20</t>
        </is>
      </c>
      <c r="B110" s="47" t="inlineStr">
        <is>
          <t>Gửi thông báo &amp; thử lại</t>
        </is>
      </c>
      <c r="C110" s="13" t="inlineStr">
        <is>
          <t>Trong phạm vi</t>
        </is>
      </c>
      <c r="D110" s="47" t="inlineStr">
        <is>
          <t>T6</t>
        </is>
      </c>
      <c r="E110" s="47" t="inlineStr">
        <is>
          <t>—</t>
        </is>
      </c>
    </row>
    <row r="111">
      <c r="A111" s="47" t="inlineStr">
        <is>
          <t>ST21</t>
        </is>
      </c>
      <c r="B111" s="47" t="inlineStr">
        <is>
          <t>Hoàn tiền online</t>
        </is>
      </c>
      <c r="C111" s="52" t="inlineStr">
        <is>
          <t>Tầng 3 — không làm (INDEX)</t>
        </is>
      </c>
      <c r="D111" s="47" t="inlineStr"/>
      <c r="E111" s="47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60" customWidth="1" min="3" max="3"/>
    <col width="18" customWidth="1" min="4" max="4"/>
  </cols>
  <sheetData>
    <row r="1">
      <c r="A1" s="53" t="inlineStr">
        <is>
          <t>DASHBOARD TIẾN ĐỘ</t>
        </is>
      </c>
    </row>
    <row r="3">
      <c r="A3" s="35" t="inlineStr">
        <is>
          <t>Tổng số task</t>
        </is>
      </c>
      <c r="B3" s="35">
        <f>ROWS('Timeline Dự án'!A5:A54)</f>
        <v/>
      </c>
      <c r="C3" s="3" t="inlineStr">
        <is>
          <t>Milestone</t>
        </is>
      </c>
      <c r="D3" s="3" t="inlineStr">
        <is>
          <t>Ngày chốt</t>
        </is>
      </c>
    </row>
    <row r="4">
      <c r="A4" s="35" t="inlineStr">
        <is>
          <t>Đã hoàn thành</t>
        </is>
      </c>
      <c r="B4" s="35">
        <f>COUNTIF('Timeline Dự án'!G5:G54,"Hoàn thành")</f>
        <v/>
      </c>
      <c r="C4" s="46" t="inlineStr">
        <is>
          <t>M0: Hợp đồng giữa module + khung BE/FE + schema</t>
        </is>
      </c>
      <c r="D4" s="46" t="inlineStr">
        <is>
          <t>06/10/2026</t>
        </is>
      </c>
    </row>
    <row r="5">
      <c r="A5" s="35" t="inlineStr">
        <is>
          <t>Đang làm</t>
        </is>
      </c>
      <c r="B5" s="35">
        <f>COUNTIF('Timeline Dự án'!G5:G54,"Đang làm")</f>
        <v/>
      </c>
      <c r="C5" s="46" t="inlineStr">
        <is>
          <t>M1: Nền tảng (W1) — Tài khoản, Danh mục, Chi nhánh</t>
        </is>
      </c>
      <c r="D5" s="46" t="inlineStr">
        <is>
          <t>09/10/2026</t>
        </is>
      </c>
    </row>
    <row r="6">
      <c r="A6" s="35" t="inlineStr">
        <is>
          <t>Bị block</t>
        </is>
      </c>
      <c r="B6" s="35">
        <f>COUNTIF('Timeline Dự án'!G5:G54,"Bị block")</f>
        <v/>
      </c>
      <c r="C6" s="46" t="inlineStr">
        <is>
          <t>M2: Dữ liệu nền (W2) — Quản trị, Khách &amp; thú, Kho, Order lõi, Lịch hẹn</t>
        </is>
      </c>
      <c r="D6" s="46" t="inlineStr">
        <is>
          <t>16/10/2026</t>
        </is>
      </c>
    </row>
    <row r="7">
      <c r="A7" s="35" t="inlineStr">
        <is>
          <t>Tỷ lệ hoàn thành</t>
        </is>
      </c>
      <c r="B7" s="54">
        <f>COUNTIF('Timeline Dự án'!G5:G54,"Hoàn thành")/ROWS('Timeline Dự án'!A5:A54)</f>
        <v/>
      </c>
      <c r="C7" s="46" t="inlineStr">
        <is>
          <t>M3: Luồng chính (W3) — Visit, Khám, Tiêm, Thu ngân, nội dung công khai</t>
        </is>
      </c>
      <c r="D7" s="46" t="inlineStr">
        <is>
          <t>23/10/2026</t>
        </is>
      </c>
    </row>
    <row r="8">
      <c r="A8" s="35" t="inlineStr">
        <is>
          <t>Task BE-1</t>
        </is>
      </c>
      <c r="B8" s="35">
        <f>COUNTIF('Timeline Dự án'!F5:F54,"BE-1 (Backend)")</f>
        <v/>
      </c>
      <c r="C8" s="46" t="inlineStr">
        <is>
          <t>M4: Demo Ready (W4) — Kê đơn, Care Task, Lưu trú, Báo cáo, test FSM + E2E</t>
        </is>
      </c>
      <c r="D8" s="46" t="inlineStr">
        <is>
          <t>30/10/2026</t>
        </is>
      </c>
    </row>
    <row r="9">
      <c r="A9" s="35" t="inlineStr">
        <is>
          <t>Task BE-2</t>
        </is>
      </c>
      <c r="B9" s="35">
        <f>COUNTIF('Timeline Dự án'!F5:F54,"BE-2 (Backend)")</f>
        <v/>
      </c>
    </row>
    <row r="10">
      <c r="A10" s="35" t="inlineStr">
        <is>
          <t>Task FE-1</t>
        </is>
      </c>
      <c r="B10" s="35">
        <f>COUNTIF('Timeline Dự án'!F5:F54,"FE-1 (Frontend)")</f>
        <v/>
      </c>
    </row>
    <row r="11">
      <c r="A11" s="35" t="inlineStr">
        <is>
          <t>Task quá hạn</t>
        </is>
      </c>
      <c r="B11" s="35">
        <f>COUNTIFS('Timeline Dự án'!E5:E54,"&lt;"&amp;TODAY(),'Timeline Dự án'!G5:G54,"&lt;&gt;Hoàn thành")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2026-10-02T09:45:07Z</dcterms:created>
  <dcterms:modified xsi:type="dcterms:W3CDTF">2026-10-02T09:45:07Z</dcterms:modified>
</cp:coreProperties>
</file>