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 Dự án" sheetId="1" state="visible" r:id="rId1"/>
    <sheet name="Chú thích màu sắc" sheetId="2" state="visible" r:id="rId2"/>
    <sheet name="Phân công module" sheetId="3" state="visible" r:id="rId3"/>
    <sheet name="FSM &amp; Rules" sheetId="4" state="visible" r:id="rId4"/>
    <sheet name="Dashboard" sheetId="5" state="visible" r:id="rId5"/>
  </sheets>
  <definedNames>
    <definedName name="_xlnm._FilterDatabase" localSheetId="0" hidden="1">'Timeline Dự án'!$A$4:$J$67</definedName>
    <definedName name="_xlnm._FilterDatabase" localSheetId="2" hidden="1">'Phân công module'!$A$1:$G$30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4E7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color rgb="00006100"/>
      <sz val="11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E2D9F3"/>
        <bgColor rgb="00E2D9F3"/>
      </patternFill>
    </fill>
    <fill>
      <patternFill patternType="solid">
        <fgColor rgb="00F2DCDB"/>
        <bgColor rgb="00F2DCDB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 wrapText="1"/>
    </xf>
    <xf numFmtId="9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164" fontId="4" fillId="10" borderId="1" applyAlignment="1" pivotButton="0" quotePrefix="0" xfId="0">
      <alignment horizontal="center" vertical="center" wrapText="1"/>
    </xf>
    <xf numFmtId="9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D9E2F3"/>
          <bgColor rgb="00D9E2F3"/>
        </patternFill>
      </fill>
    </dxf>
    <dxf>
      <font>
        <b val="1"/>
      </font>
      <fill>
        <patternFill patternType="solid">
          <fgColor rgb="00E2EFDA"/>
          <bgColor rgb="00E2EFDA"/>
        </patternFill>
      </fill>
    </dxf>
    <dxf>
      <font>
        <b val="1"/>
      </font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J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8" customWidth="1" min="3" max="3"/>
    <col width="13" customWidth="1" min="4" max="4"/>
    <col width="13" customWidth="1" min="5" max="5"/>
    <col width="17" customWidth="1" min="6" max="6"/>
    <col width="14" customWidth="1" min="7" max="7"/>
    <col width="34" customWidth="1" min="8" max="8"/>
    <col width="20" customWidth="1" min="9" max="9"/>
    <col width="11" customWidth="1" min="10" max="10"/>
  </cols>
  <sheetData>
    <row r="1" ht="30" customHeight="1">
      <c r="A1" s="1" t="inlineStr">
        <is>
          <t>PET CARE ECOSYSTEM — TEAM TIMELINE (6 TUẦN: 07/09–19/10/2026, 2 BACKEND + 1 FRONTEND)</t>
        </is>
      </c>
    </row>
    <row r="2" ht="20" customHeight="1">
      <c r="A2" s="2" t="inlineStr">
        <is>
          <t>Kiến trúc: Monolithic • Admin First • FSM-driven  •  25 modules  •  17 FSMs  •  ~150 rules (RULE-01→RULE-25, D-01→D-04)</t>
        </is>
      </c>
    </row>
    <row r="4" ht="28" customHeight="1">
      <c r="A4" s="3" t="inlineStr">
        <is>
          <t>ID</t>
        </is>
      </c>
      <c r="B4" s="3" t="inlineStr">
        <is>
          <t>Giai đoạn</t>
        </is>
      </c>
      <c r="C4" s="3" t="inlineStr">
        <is>
          <t>Công việc</t>
        </is>
      </c>
      <c r="D4" s="3" t="inlineStr">
        <is>
          <t>Ngày bắt đầu</t>
        </is>
      </c>
      <c r="E4" s="3" t="inlineStr">
        <is>
          <t>Ngày kết thúc</t>
        </is>
      </c>
      <c r="F4" s="3" t="inlineStr">
        <is>
          <t>Người thực hiện</t>
        </is>
      </c>
      <c r="G4" s="3" t="inlineStr">
        <is>
          <t>Trạng thái</t>
        </is>
      </c>
      <c r="H4" s="3" t="inlineStr">
        <is>
          <t>Ghi chú</t>
        </is>
      </c>
      <c r="I4" s="3" t="inlineStr">
        <is>
          <t>Module</t>
        </is>
      </c>
      <c r="J4" s="3" t="inlineStr">
        <is>
          <t>Tiến độ (%)</t>
        </is>
      </c>
    </row>
    <row r="5">
      <c r="A5" s="4" t="n">
        <v>1</v>
      </c>
      <c r="B5" s="5" t="inlineStr">
        <is>
          <t>GD 0: Setup hệ thống</t>
        </is>
      </c>
      <c r="C5" s="5" t="inlineStr">
        <is>
          <t>Thiết kế kiến trúc Monolithic + ERD toàn hệ thống (25 modules)</t>
        </is>
      </c>
      <c r="D5" s="50" t="n">
        <v>46272</v>
      </c>
      <c r="E5" s="50" t="n">
        <v>46274</v>
      </c>
      <c r="F5" s="4" t="inlineStr">
        <is>
          <t>BE-1 (Backend)</t>
        </is>
      </c>
      <c r="G5" s="4" t="inlineStr">
        <is>
          <t>Chưa bắt đầu</t>
        </is>
      </c>
      <c r="H5" s="5" t="inlineStr">
        <is>
          <t>Chốt D-01, D-02, D-03, D-04</t>
        </is>
      </c>
      <c r="I5" s="5" t="inlineStr">
        <is>
          <t>M00: Setup</t>
        </is>
      </c>
      <c r="J5" s="7" t="n">
        <v>0</v>
      </c>
    </row>
    <row r="6">
      <c r="A6" s="4" t="n">
        <v>2</v>
      </c>
      <c r="B6" s="5" t="inlineStr">
        <is>
          <t>GD 0: Setup hệ thống</t>
        </is>
      </c>
      <c r="C6" s="5" t="inlineStr">
        <is>
          <t>Dựng Maven + Docker Compose (PostgreSQL 17) + Flyway baseline</t>
        </is>
      </c>
      <c r="D6" s="50" t="n">
        <v>46272</v>
      </c>
      <c r="E6" s="50" t="n">
        <v>46274</v>
      </c>
      <c r="F6" s="4" t="inlineStr">
        <is>
          <t>BE-1 (Backend)</t>
        </is>
      </c>
      <c r="G6" s="4" t="inlineStr">
        <is>
          <t>Chưa bắt đầu</t>
        </is>
      </c>
      <c r="H6" s="5" t="inlineStr">
        <is>
          <t>Môi trường dev dùng chung</t>
        </is>
      </c>
      <c r="I6" s="5" t="inlineStr">
        <is>
          <t>M00: Setup</t>
        </is>
      </c>
      <c r="J6" s="7" t="n">
        <v>0</v>
      </c>
    </row>
    <row r="7">
      <c r="A7" s="4" t="n">
        <v>3</v>
      </c>
      <c r="B7" s="5" t="inlineStr">
        <is>
          <t>GD 0: Setup hệ thống</t>
        </is>
      </c>
      <c r="C7" s="5" t="inlineStr">
        <is>
          <t>SecurityConfig + JWT + RBAC (9 roles, 5 scopes)</t>
        </is>
      </c>
      <c r="D7" s="50" t="n">
        <v>46272</v>
      </c>
      <c r="E7" s="50" t="n">
        <v>46274</v>
      </c>
      <c r="F7" s="4" t="inlineStr">
        <is>
          <t>BE-1 (Backend)</t>
        </is>
      </c>
      <c r="G7" s="4" t="inlineStr">
        <is>
          <t>Chưa bắt đầu</t>
        </is>
      </c>
      <c r="H7" s="5" t="inlineStr">
        <is>
          <t>Nền tảng phân quyền</t>
        </is>
      </c>
      <c r="I7" s="5" t="inlineStr">
        <is>
          <t>M02: IAM</t>
        </is>
      </c>
      <c r="J7" s="7" t="n">
        <v>0</v>
      </c>
    </row>
    <row r="8">
      <c r="A8" s="4" t="n">
        <v>4</v>
      </c>
      <c r="B8" s="5" t="inlineStr">
        <is>
          <t>GD 0: Setup hệ thống</t>
        </is>
      </c>
      <c r="C8" s="5" t="inlineStr">
        <is>
          <t>Swagger/OpenAPI + cấu trúc package + interceptor AuditLog</t>
        </is>
      </c>
      <c r="D8" s="50" t="n">
        <v>46272</v>
      </c>
      <c r="E8" s="50" t="n">
        <v>46274</v>
      </c>
      <c r="F8" s="4" t="inlineStr">
        <is>
          <t>BE-2 (Backend)</t>
        </is>
      </c>
      <c r="G8" s="4" t="inlineStr">
        <is>
          <t>Chưa bắt đầu</t>
        </is>
      </c>
      <c r="H8" s="5" t="inlineStr">
        <is>
          <t>Khung tài liệu API</t>
        </is>
      </c>
      <c r="I8" s="5" t="inlineStr">
        <is>
          <t>M00: Setup</t>
        </is>
      </c>
      <c r="J8" s="7" t="n">
        <v>0</v>
      </c>
    </row>
    <row r="9">
      <c r="A9" s="8" t="n">
        <v>5</v>
      </c>
      <c r="B9" s="9" t="inlineStr">
        <is>
          <t>W1: Foundation (10–14/09)</t>
        </is>
      </c>
      <c r="C9" s="9" t="inlineStr">
        <is>
          <t>Auth: RegisterAccount + OTP (TTL 5 phút, cooldown 60s, khóa sau 5 lần sai)</t>
        </is>
      </c>
      <c r="D9" s="51" t="n">
        <v>46275</v>
      </c>
      <c r="E9" s="51" t="n">
        <v>46276</v>
      </c>
      <c r="F9" s="8" t="inlineStr">
        <is>
          <t>BE-1 (Backend)</t>
        </is>
      </c>
      <c r="G9" s="8" t="inlineStr">
        <is>
          <t>Chưa bắt đầu</t>
        </is>
      </c>
      <c r="H9" s="9" t="inlineStr">
        <is>
          <t>FSM Account; RULE-01-01→01-05</t>
        </is>
      </c>
      <c r="I9" s="9" t="inlineStr">
        <is>
          <t>M01: Auth + OTP</t>
        </is>
      </c>
      <c r="J9" s="11" t="n">
        <v>0</v>
      </c>
    </row>
    <row r="10">
      <c r="A10" s="8" t="n">
        <v>6</v>
      </c>
      <c r="B10" s="9" t="inlineStr">
        <is>
          <t>W1: Foundation (10–14/09)</t>
        </is>
      </c>
      <c r="C10" s="9" t="inlineStr">
        <is>
          <t>Auth: Login/Logout (thu hồi token) + CreateStaff ACTIVE trực tiếp (D-04)</t>
        </is>
      </c>
      <c r="D10" s="51" t="n">
        <v>46276</v>
      </c>
      <c r="E10" s="51" t="n">
        <v>46277</v>
      </c>
      <c r="F10" s="8" t="inlineStr">
        <is>
          <t>BE-1 (Backend)</t>
        </is>
      </c>
      <c r="G10" s="8" t="inlineStr">
        <is>
          <t>Chưa bắt đầu</t>
        </is>
      </c>
      <c r="H10" s="9" t="inlineStr">
        <is>
          <t>RULE-01-06, 01-07</t>
        </is>
      </c>
      <c r="I10" s="9" t="inlineStr">
        <is>
          <t>M01: Auth + OTP</t>
        </is>
      </c>
      <c r="J10" s="11" t="n">
        <v>0</v>
      </c>
    </row>
    <row r="11">
      <c r="A11" s="8" t="n">
        <v>7</v>
      </c>
      <c r="B11" s="9" t="inlineStr">
        <is>
          <t>W1: Foundation (10–14/09)</t>
        </is>
      </c>
      <c r="C11" s="9" t="inlineStr">
        <is>
          <t>Users/IAM: CRUD + Roles/Permissions + Lock/Unlock/Deactivate</t>
        </is>
      </c>
      <c r="D11" s="51" t="n">
        <v>46277</v>
      </c>
      <c r="E11" s="51" t="n">
        <v>46278</v>
      </c>
      <c r="F11" s="8" t="inlineStr">
        <is>
          <t>BE-1 (Backend)</t>
        </is>
      </c>
      <c r="G11" s="8" t="inlineStr">
        <is>
          <t>Chưa bắt đầu</t>
        </is>
      </c>
      <c r="H11" s="9" t="inlineStr">
        <is>
          <t>RULE-02-01→02-07</t>
        </is>
      </c>
      <c r="I11" s="9" t="inlineStr">
        <is>
          <t>M02: IAM</t>
        </is>
      </c>
      <c r="J11" s="11" t="n">
        <v>0</v>
      </c>
    </row>
    <row r="12">
      <c r="A12" s="8" t="n">
        <v>8</v>
      </c>
      <c r="B12" s="9" t="inlineStr">
        <is>
          <t>W1: Foundation (10–14/09)</t>
        </is>
      </c>
      <c r="C12" s="9" t="inlineStr">
        <is>
          <t>Organizations: CRUD + OrganizationPolicy + lọc multi-tenancy</t>
        </is>
      </c>
      <c r="D12" s="51" t="n">
        <v>46278</v>
      </c>
      <c r="E12" s="51" t="n">
        <v>46279</v>
      </c>
      <c r="F12" s="8" t="inlineStr">
        <is>
          <t>BE-1 (Backend)</t>
        </is>
      </c>
      <c r="G12" s="8" t="inlineStr">
        <is>
          <t>Chưa bắt đầu</t>
        </is>
      </c>
      <c r="H12" s="9" t="inlineStr">
        <is>
          <t>Cách ly 100% (RULE-03-01)</t>
        </is>
      </c>
      <c r="I12" s="9" t="inlineStr">
        <is>
          <t>M03: Org &amp; Store</t>
        </is>
      </c>
      <c r="J12" s="11" t="n">
        <v>0</v>
      </c>
    </row>
    <row r="13">
      <c r="A13" s="8" t="n">
        <v>9</v>
      </c>
      <c r="B13" s="9" t="inlineStr">
        <is>
          <t>W1: Foundation (10–14/09)</t>
        </is>
      </c>
      <c r="C13" s="9" t="inlineStr">
        <is>
          <t>Stores: CRUD + FSM (DRAFT→ACTIVE→SUSPENDED→ARCHIVED) + giờ mở cửa + tài nguyên</t>
        </is>
      </c>
      <c r="D13" s="51" t="n">
        <v>46278</v>
      </c>
      <c r="E13" s="51" t="n">
        <v>46279</v>
      </c>
      <c r="F13" s="8" t="inlineStr">
        <is>
          <t>BE-1 (Backend)</t>
        </is>
      </c>
      <c r="G13" s="8" t="inlineStr">
        <is>
          <t>Chưa bắt đầu</t>
        </is>
      </c>
      <c r="H13" s="9" t="inlineStr">
        <is>
          <t>RULE-03-02→03-08</t>
        </is>
      </c>
      <c r="I13" s="9" t="inlineStr">
        <is>
          <t>M03: Org &amp; Store</t>
        </is>
      </c>
      <c r="J13" s="11" t="n">
        <v>0</v>
      </c>
    </row>
    <row r="14">
      <c r="A14" s="8" t="n">
        <v>10</v>
      </c>
      <c r="B14" s="9" t="inlineStr">
        <is>
          <t>W1: Foundation (10–14/09)</t>
        </is>
      </c>
      <c r="C14" s="9" t="inlineStr">
        <is>
          <t>Pets: entity + CRUD + quyền sở hữu (chỉ Primary Owner)</t>
        </is>
      </c>
      <c r="D14" s="51" t="n">
        <v>46275</v>
      </c>
      <c r="E14" s="51" t="n">
        <v>46277</v>
      </c>
      <c r="F14" s="8" t="inlineStr">
        <is>
          <t>BE-2 (Backend)</t>
        </is>
      </c>
      <c r="G14" s="8" t="inlineStr">
        <is>
          <t>Chưa bắt đầu</t>
        </is>
      </c>
      <c r="H14" s="9" t="inlineStr">
        <is>
          <t>RULE-04-01→04-03</t>
        </is>
      </c>
      <c r="I14" s="9" t="inlineStr">
        <is>
          <t>M04: Customer &amp; Pet</t>
        </is>
      </c>
      <c r="J14" s="11" t="n">
        <v>0</v>
      </c>
    </row>
    <row r="15">
      <c r="A15" s="8" t="n">
        <v>11</v>
      </c>
      <c r="B15" s="9" t="inlineStr">
        <is>
          <t>W1: Foundation (10–14/09)</t>
        </is>
      </c>
      <c r="C15" s="9" t="inlineStr">
        <is>
          <t>Caregiver: FSM ủy quyền (INVITED→ACTIVE, TTL 7 ngày, thu hồi tức thì)</t>
        </is>
      </c>
      <c r="D15" s="51" t="n">
        <v>46277</v>
      </c>
      <c r="E15" s="51" t="n">
        <v>46279</v>
      </c>
      <c r="F15" s="8" t="inlineStr">
        <is>
          <t>BE-2 (Backend)</t>
        </is>
      </c>
      <c r="G15" s="8" t="inlineStr">
        <is>
          <t>Chưa bắt đầu</t>
        </is>
      </c>
      <c r="H15" s="9" t="inlineStr">
        <is>
          <t>RULE-04-04→04-09</t>
        </is>
      </c>
      <c r="I15" s="9" t="inlineStr">
        <is>
          <t>M04: Customer &amp; Pet</t>
        </is>
      </c>
      <c r="J15" s="11" t="n">
        <v>0</v>
      </c>
    </row>
    <row r="16">
      <c r="A16" s="8" t="n">
        <v>12</v>
      </c>
      <c r="B16" s="9" t="inlineStr">
        <is>
          <t>W1: Foundation (10–14/09)</t>
        </is>
      </c>
      <c r="C16" s="9" t="inlineStr">
        <is>
          <t>Products/Services: Master Catalog + giá theo từng Store</t>
        </is>
      </c>
      <c r="D16" s="51" t="n">
        <v>46275</v>
      </c>
      <c r="E16" s="51" t="n">
        <v>46277</v>
      </c>
      <c r="F16" s="8" t="inlineStr">
        <is>
          <t>BE-2 (Backend)</t>
        </is>
      </c>
      <c r="G16" s="8" t="inlineStr">
        <is>
          <t>Chưa bắt đầu</t>
        </is>
      </c>
      <c r="H16" s="9" t="inlineStr">
        <is>
          <t>RULE-05-01→05-06</t>
        </is>
      </c>
      <c r="I16" s="9" t="inlineStr">
        <is>
          <t>M05: Catalog</t>
        </is>
      </c>
      <c r="J16" s="11" t="n">
        <v>0</v>
      </c>
    </row>
    <row r="17">
      <c r="A17" s="8" t="n">
        <v>13</v>
      </c>
      <c r="B17" s="9" t="inlineStr">
        <is>
          <t>W1: Foundation (10–14/09)</t>
        </is>
      </c>
      <c r="C17" s="9" t="inlineStr">
        <is>
          <t>Inventory: tồn kho (thực tế/giữ chỗ/khả dụng) + FEFO + cảnh báo tồn thấp</t>
        </is>
      </c>
      <c r="D17" s="51" t="n">
        <v>46277</v>
      </c>
      <c r="E17" s="51" t="n">
        <v>46279</v>
      </c>
      <c r="F17" s="8" t="inlineStr">
        <is>
          <t>BE-2 (Backend)</t>
        </is>
      </c>
      <c r="G17" s="8" t="inlineStr">
        <is>
          <t>Chưa bắt đầu</t>
        </is>
      </c>
      <c r="H17" s="9" t="inlineStr">
        <is>
          <t>RULE-12-01→12-03, 12-11</t>
        </is>
      </c>
      <c r="I17" s="9" t="inlineStr">
        <is>
          <t>M12: Inventory</t>
        </is>
      </c>
      <c r="J17" s="11" t="n">
        <v>0</v>
      </c>
    </row>
    <row r="18">
      <c r="A18" s="8" t="n">
        <v>14</v>
      </c>
      <c r="B18" s="9" t="inlineStr">
        <is>
          <t>W1: Foundation (10–14/09)</t>
        </is>
      </c>
      <c r="C18" s="9" t="inlineStr">
        <is>
          <t>Procurement: PurchaseRequest + PurchaseOrder CRUD cơ bản</t>
        </is>
      </c>
      <c r="D18" s="51" t="n">
        <v>46278</v>
      </c>
      <c r="E18" s="51" t="n">
        <v>46279</v>
      </c>
      <c r="F18" s="8" t="inlineStr">
        <is>
          <t>BE-2 (Backend)</t>
        </is>
      </c>
      <c r="G18" s="8" t="inlineStr">
        <is>
          <t>Chưa bắt đầu</t>
        </is>
      </c>
      <c r="H18" s="9" t="inlineStr">
        <is>
          <t>RULE-13-01→13-04</t>
        </is>
      </c>
      <c r="I18" s="9" t="inlineStr">
        <is>
          <t>M13: Procurement</t>
        </is>
      </c>
      <c r="J18" s="11" t="n">
        <v>0</v>
      </c>
    </row>
    <row r="19">
      <c r="A19" s="8" t="n">
        <v>15</v>
      </c>
      <c r="B19" s="9" t="inlineStr">
        <is>
          <t>W1: Foundation (10–14/09)</t>
        </is>
      </c>
      <c r="C19" s="9" t="inlineStr">
        <is>
          <t>FE: setup Next.js + Tailwind + routing + auth context + layout</t>
        </is>
      </c>
      <c r="D19" s="51" t="n">
        <v>46275</v>
      </c>
      <c r="E19" s="51" t="n">
        <v>46277</v>
      </c>
      <c r="F19" s="8" t="inlineStr">
        <is>
          <t>FE-1 (Frontend)</t>
        </is>
      </c>
      <c r="G19" s="8" t="inlineStr">
        <is>
          <t>Chưa bắt đầu</t>
        </is>
      </c>
      <c r="H19" s="9" t="inlineStr">
        <is>
          <t>Khung FE dùng chung</t>
        </is>
      </c>
      <c r="I19" s="9" t="inlineStr">
        <is>
          <t>M00: Setup FE</t>
        </is>
      </c>
      <c r="J19" s="11" t="n">
        <v>0</v>
      </c>
    </row>
    <row r="20">
      <c r="A20" s="8" t="n">
        <v>16</v>
      </c>
      <c r="B20" s="9" t="inlineStr">
        <is>
          <t>W1: Foundation (10–14/09)</t>
        </is>
      </c>
      <c r="C20" s="9" t="inlineStr">
        <is>
          <t>FE: trang Đăng ký/Đăng nhập/OTP + tích hợp JWT</t>
        </is>
      </c>
      <c r="D20" s="51" t="n">
        <v>46277</v>
      </c>
      <c r="E20" s="51" t="n">
        <v>46279</v>
      </c>
      <c r="F20" s="8" t="inlineStr">
        <is>
          <t>FE-1 (Frontend)</t>
        </is>
      </c>
      <c r="G20" s="8" t="inlineStr">
        <is>
          <t>Chưa bắt đầu</t>
        </is>
      </c>
      <c r="H20" s="9" t="inlineStr">
        <is>
          <t>Gọi API Auth thật</t>
        </is>
      </c>
      <c r="I20" s="9" t="inlineStr">
        <is>
          <t>M01: Auth (FE)</t>
        </is>
      </c>
      <c r="J20" s="11" t="n">
        <v>0</v>
      </c>
    </row>
    <row r="21">
      <c r="A21" s="12" t="n">
        <v>17</v>
      </c>
      <c r="B21" s="13" t="inlineStr">
        <is>
          <t>W2: Core Domain (17–21/09)</t>
        </is>
      </c>
      <c r="C21" s="13" t="inlineStr">
        <is>
          <t>Appointment: entity + BookingHold 15 phút + migration</t>
        </is>
      </c>
      <c r="D21" s="52" t="n">
        <v>46282</v>
      </c>
      <c r="E21" s="52" t="n">
        <v>46283</v>
      </c>
      <c r="F21" s="12" t="inlineStr">
        <is>
          <t>BE-1 (Backend)</t>
        </is>
      </c>
      <c r="G21" s="12" t="inlineStr">
        <is>
          <t>Chưa bắt đầu</t>
        </is>
      </c>
      <c r="H21" s="13" t="inlineStr">
        <is>
          <t>8 states (FSM 4.2)</t>
        </is>
      </c>
      <c r="I21" s="13" t="inlineStr">
        <is>
          <t>M06: Appointment</t>
        </is>
      </c>
      <c r="J21" s="15" t="n">
        <v>0</v>
      </c>
    </row>
    <row r="22">
      <c r="A22" s="12" t="n">
        <v>18</v>
      </c>
      <c r="B22" s="13" t="inlineStr">
        <is>
          <t>W2: Core Domain (17–21/09)</t>
        </is>
      </c>
      <c r="C22" s="13" t="inlineStr">
        <is>
          <t>Appointment: book()/confirm()/checkIn() + kiểm tra xung đột 3 chiều</t>
        </is>
      </c>
      <c r="D22" s="52" t="n">
        <v>46283</v>
      </c>
      <c r="E22" s="52" t="n">
        <v>46284</v>
      </c>
      <c r="F22" s="12" t="inlineStr">
        <is>
          <t>BE-1 (Backend)</t>
        </is>
      </c>
      <c r="G22" s="12" t="inlineStr">
        <is>
          <t>Chưa bắt đầu</t>
        </is>
      </c>
      <c r="H22" s="13" t="inlineStr">
        <is>
          <t>RULE-06-01, 06-02, 06-10, 06-11</t>
        </is>
      </c>
      <c r="I22" s="13" t="inlineStr">
        <is>
          <t>M06: Appointment</t>
        </is>
      </c>
      <c r="J22" s="15" t="n">
        <v>0</v>
      </c>
    </row>
    <row r="23">
      <c r="A23" s="12" t="n">
        <v>19</v>
      </c>
      <c r="B23" s="13" t="inlineStr">
        <is>
          <t>W2: Core Domain (17–21/09)</t>
        </is>
      </c>
      <c r="C23" s="13" t="inlineStr">
        <is>
          <t>Appointment: start()/complete()/cancel() + đổi lịch nguyên tử + No-show + Abort</t>
        </is>
      </c>
      <c r="D23" s="52" t="n">
        <v>46284</v>
      </c>
      <c r="E23" s="52" t="n">
        <v>46285</v>
      </c>
      <c r="F23" s="12" t="inlineStr">
        <is>
          <t>BE-1 (Backend)</t>
        </is>
      </c>
      <c r="G23" s="12" t="inlineStr">
        <is>
          <t>Chưa bắt đầu</t>
        </is>
      </c>
      <c r="H23" s="13" t="inlineStr">
        <is>
          <t>RULE-06-04→06-09</t>
        </is>
      </c>
      <c r="I23" s="13" t="inlineStr">
        <is>
          <t>M06: Appointment</t>
        </is>
      </c>
      <c r="J23" s="15" t="n">
        <v>0</v>
      </c>
    </row>
    <row r="24">
      <c r="A24" s="12" t="n">
        <v>20</v>
      </c>
      <c r="B24" s="13" t="inlineStr">
        <is>
          <t>W2: Core Domain (17–21/09)</t>
        </is>
      </c>
      <c r="C24" s="13" t="inlineStr">
        <is>
          <t>Appointment: Controller + unit test từng transition</t>
        </is>
      </c>
      <c r="D24" s="52" t="n">
        <v>46285</v>
      </c>
      <c r="E24" s="52" t="n">
        <v>46286</v>
      </c>
      <c r="F24" s="12" t="inlineStr">
        <is>
          <t>BE-1 (Backend)</t>
        </is>
      </c>
      <c r="G24" s="12" t="inlineStr">
        <is>
          <t>Chưa bắt đầu</t>
        </is>
      </c>
      <c r="H24" s="13" t="inlineStr">
        <is>
          <t>Happy path + invalid</t>
        </is>
      </c>
      <c r="I24" s="13" t="inlineStr">
        <is>
          <t>M06: Appointment</t>
        </is>
      </c>
      <c r="J24" s="15" t="n">
        <v>0</v>
      </c>
    </row>
    <row r="25">
      <c r="A25" s="12" t="n">
        <v>21</v>
      </c>
      <c r="B25" s="13" t="inlineStr">
        <is>
          <t>W2: Core Domain (17–21/09)</t>
        </is>
      </c>
      <c r="C25" s="13" t="inlineStr">
        <is>
          <t>Order: entity + Cart + migration (D-03: POS vs Online)</t>
        </is>
      </c>
      <c r="D25" s="52" t="n">
        <v>46282</v>
      </c>
      <c r="E25" s="52" t="n">
        <v>46283</v>
      </c>
      <c r="F25" s="12" t="inlineStr">
        <is>
          <t>BE-2 (Backend)</t>
        </is>
      </c>
      <c r="G25" s="12" t="inlineStr">
        <is>
          <t>Chưa bắt đầu</t>
        </is>
      </c>
      <c r="H25" s="13" t="inlineStr">
        <is>
          <t>8 states (FSM 5)</t>
        </is>
      </c>
      <c r="I25" s="13" t="inlineStr">
        <is>
          <t>M14: Order</t>
        </is>
      </c>
      <c r="J25" s="15" t="n">
        <v>0</v>
      </c>
    </row>
    <row r="26">
      <c r="A26" s="12" t="n">
        <v>22</v>
      </c>
      <c r="B26" s="13" t="inlineStr">
        <is>
          <t>W2: Core Domain (17–21/09)</t>
        </is>
      </c>
      <c r="C26" s="13" t="inlineStr">
        <is>
          <t>Order: checkout()/confirm()/process()/deliver() + timeout 15 phút</t>
        </is>
      </c>
      <c r="D26" s="52" t="n">
        <v>46283</v>
      </c>
      <c r="E26" s="52" t="n">
        <v>46285</v>
      </c>
      <c r="F26" s="12" t="inlineStr">
        <is>
          <t>BE-2 (Backend)</t>
        </is>
      </c>
      <c r="G26" s="12" t="inlineStr">
        <is>
          <t>Chưa bắt đầu</t>
        </is>
      </c>
      <c r="H26" s="13" t="inlineStr">
        <is>
          <t>RULE-14-01→14-07</t>
        </is>
      </c>
      <c r="I26" s="13" t="inlineStr">
        <is>
          <t>M14: Order</t>
        </is>
      </c>
      <c r="J26" s="15" t="n">
        <v>0</v>
      </c>
    </row>
    <row r="27">
      <c r="A27" s="12" t="n">
        <v>23</v>
      </c>
      <c r="B27" s="13" t="inlineStr">
        <is>
          <t>W2: Core Domain (17–21/09)</t>
        </is>
      </c>
      <c r="C27" s="13" t="inlineStr">
        <is>
          <t>Payment: entity + FSM + MakePayment/RecordCashPayment</t>
        </is>
      </c>
      <c r="D27" s="52" t="n">
        <v>46283</v>
      </c>
      <c r="E27" s="52" t="n">
        <v>46284</v>
      </c>
      <c r="F27" s="12" t="inlineStr">
        <is>
          <t>BE-2 (Backend)</t>
        </is>
      </c>
      <c r="G27" s="12" t="inlineStr">
        <is>
          <t>Chưa bắt đầu</t>
        </is>
      </c>
      <c r="H27" s="13" t="inlineStr">
        <is>
          <t>7 states (FSM 7)</t>
        </is>
      </c>
      <c r="I27" s="13" t="inlineStr">
        <is>
          <t>M16: Payment</t>
        </is>
      </c>
      <c r="J27" s="15" t="n">
        <v>0</v>
      </c>
    </row>
    <row r="28">
      <c r="A28" s="12" t="n">
        <v>24</v>
      </c>
      <c r="B28" s="13" t="inlineStr">
        <is>
          <t>W2: Core Domain (17–21/09)</t>
        </is>
      </c>
      <c r="C28" s="13" t="inlineStr">
        <is>
          <t>Payment: verify()/callback HMAC + Idempotency/settle()/cancel() + tests</t>
        </is>
      </c>
      <c r="D28" s="52" t="n">
        <v>46284</v>
      </c>
      <c r="E28" s="52" t="n">
        <v>46286</v>
      </c>
      <c r="F28" s="12" t="inlineStr">
        <is>
          <t>BE-2 (Backend)</t>
        </is>
      </c>
      <c r="G28" s="12" t="inlineStr">
        <is>
          <t>Chưa bắt đầu</t>
        </is>
      </c>
      <c r="H28" s="13" t="inlineStr">
        <is>
          <t>RULE-16-01→16-05</t>
        </is>
      </c>
      <c r="I28" s="13" t="inlineStr">
        <is>
          <t>M16: Payment</t>
        </is>
      </c>
      <c r="J28" s="15" t="n">
        <v>0</v>
      </c>
    </row>
    <row r="29">
      <c r="A29" s="12" t="n">
        <v>25</v>
      </c>
      <c r="B29" s="13" t="inlineStr">
        <is>
          <t>W2: Core Domain (17–21/09)</t>
        </is>
      </c>
      <c r="C29" s="13" t="inlineStr">
        <is>
          <t>FE Pets: CRUD + hồ sơ Pet + ủy quyền Caregiver</t>
        </is>
      </c>
      <c r="D29" s="52" t="n">
        <v>46282</v>
      </c>
      <c r="E29" s="52" t="n">
        <v>46284</v>
      </c>
      <c r="F29" s="12" t="inlineStr">
        <is>
          <t>FE-1 (Frontend)</t>
        </is>
      </c>
      <c r="G29" s="12" t="inlineStr">
        <is>
          <t>Chưa bắt đầu</t>
        </is>
      </c>
      <c r="H29" s="13" t="inlineStr">
        <is>
          <t>Gọi API Pets thật</t>
        </is>
      </c>
      <c r="I29" s="13" t="inlineStr">
        <is>
          <t>M04: Pet (FE)</t>
        </is>
      </c>
      <c r="J29" s="15" t="n">
        <v>0</v>
      </c>
    </row>
    <row r="30">
      <c r="A30" s="12" t="n">
        <v>26</v>
      </c>
      <c r="B30" s="13" t="inlineStr">
        <is>
          <t>W2: Core Domain (17–21/09)</t>
        </is>
      </c>
      <c r="C30" s="13" t="inlineStr">
        <is>
          <t>FE Products: danh mục + giỏ hàng (Cart)</t>
        </is>
      </c>
      <c r="D30" s="52" t="n">
        <v>46284</v>
      </c>
      <c r="E30" s="52" t="n">
        <v>46286</v>
      </c>
      <c r="F30" s="12" t="inlineStr">
        <is>
          <t>FE-1 (Frontend)</t>
        </is>
      </c>
      <c r="G30" s="12" t="inlineStr">
        <is>
          <t>Chưa bắt đầu</t>
        </is>
      </c>
      <c r="H30" s="13" t="inlineStr">
        <is>
          <t>Gọi API Products thật</t>
        </is>
      </c>
      <c r="I30" s="13" t="inlineStr">
        <is>
          <t>M05: Catalog (FE)</t>
        </is>
      </c>
      <c r="J30" s="15" t="n">
        <v>0</v>
      </c>
    </row>
    <row r="31">
      <c r="A31" s="16" t="n">
        <v>27</v>
      </c>
      <c r="B31" s="17" t="inlineStr">
        <is>
          <t>W3: Commerce P1 (24–28/09)</t>
        </is>
      </c>
      <c r="C31" s="17" t="inlineStr">
        <is>
          <t>Invoice: entity + items (D-01: PAID bất biến khi hoàn tiền)</t>
        </is>
      </c>
      <c r="D31" s="53" t="n">
        <v>46289</v>
      </c>
      <c r="E31" s="53" t="n">
        <v>46290</v>
      </c>
      <c r="F31" s="16" t="inlineStr">
        <is>
          <t>BE-1 (Backend)</t>
        </is>
      </c>
      <c r="G31" s="16" t="inlineStr">
        <is>
          <t>Chưa bắt đầu</t>
        </is>
      </c>
      <c r="H31" s="17" t="inlineStr">
        <is>
          <t>5 states (FSM 6)</t>
        </is>
      </c>
      <c r="I31" s="17" t="inlineStr">
        <is>
          <t>M15: Invoice</t>
        </is>
      </c>
      <c r="J31" s="19" t="n">
        <v>0</v>
      </c>
    </row>
    <row r="32">
      <c r="A32" s="16" t="n">
        <v>28</v>
      </c>
      <c r="B32" s="17" t="inlineStr">
        <is>
          <t>W3: Commerce P1 (24–28/09)</t>
        </is>
      </c>
      <c r="C32" s="17" t="inlineStr">
        <is>
          <t>Invoice: create/issue/void/discard + Hóa đơn phụ phí độc lập (D-02)</t>
        </is>
      </c>
      <c r="D32" s="53" t="n">
        <v>46290</v>
      </c>
      <c r="E32" s="53" t="n">
        <v>46291</v>
      </c>
      <c r="F32" s="16" t="inlineStr">
        <is>
          <t>BE-1 (Backend)</t>
        </is>
      </c>
      <c r="G32" s="16" t="inlineStr">
        <is>
          <t>Chưa bắt đầu</t>
        </is>
      </c>
      <c r="H32" s="17" t="inlineStr">
        <is>
          <t>RULE-15-01→15-08</t>
        </is>
      </c>
      <c r="I32" s="17" t="inlineStr">
        <is>
          <t>M15: Invoice</t>
        </is>
      </c>
      <c r="J32" s="19" t="n">
        <v>0</v>
      </c>
    </row>
    <row r="33">
      <c r="A33" s="16" t="n">
        <v>29</v>
      </c>
      <c r="B33" s="17" t="inlineStr">
        <is>
          <t>W3: Commerce P1 (24–28/09)</t>
        </is>
      </c>
      <c r="C33" s="17" t="inlineStr">
        <is>
          <t>Refund: entity + luồng yêu cầu (cửa sổ 30 ngày)</t>
        </is>
      </c>
      <c r="D33" s="53" t="n">
        <v>46291</v>
      </c>
      <c r="E33" s="53" t="n">
        <v>46292</v>
      </c>
      <c r="F33" s="16" t="inlineStr">
        <is>
          <t>BE-1 (Backend)</t>
        </is>
      </c>
      <c r="G33" s="16" t="inlineStr">
        <is>
          <t>Chưa bắt đầu</t>
        </is>
      </c>
      <c r="H33" s="17" t="inlineStr">
        <is>
          <t>6 states (FSM 8)</t>
        </is>
      </c>
      <c r="I33" s="17" t="inlineStr">
        <is>
          <t>M17: Refund</t>
        </is>
      </c>
      <c r="J33" s="19" t="n">
        <v>0</v>
      </c>
    </row>
    <row r="34">
      <c r="A34" s="16" t="n">
        <v>30</v>
      </c>
      <c r="B34" s="17" t="inlineStr">
        <is>
          <t>W3: Commerce P1 (24–28/09)</t>
        </is>
      </c>
      <c r="C34" s="17" t="inlineStr">
        <is>
          <t>Refund: duyệt/từ chối (Maker-Checker) + chi tiền + thử lại tối đa 3 + thủ công</t>
        </is>
      </c>
      <c r="D34" s="53" t="n">
        <v>46292</v>
      </c>
      <c r="E34" s="53" t="n">
        <v>46293</v>
      </c>
      <c r="F34" s="16" t="inlineStr">
        <is>
          <t>BE-1 (Backend)</t>
        </is>
      </c>
      <c r="G34" s="16" t="inlineStr">
        <is>
          <t>Chưa bắt đầu</t>
        </is>
      </c>
      <c r="H34" s="17" t="inlineStr">
        <is>
          <t>RULE-17-01→17-10</t>
        </is>
      </c>
      <c r="I34" s="17" t="inlineStr">
        <is>
          <t>M17: Refund</t>
        </is>
      </c>
      <c r="J34" s="19" t="n">
        <v>0</v>
      </c>
    </row>
    <row r="35">
      <c r="A35" s="16" t="n">
        <v>31</v>
      </c>
      <c r="B35" s="17" t="inlineStr">
        <is>
          <t>W3: Commerce P1 (24–28/09)</t>
        </is>
      </c>
      <c r="C35" s="17" t="inlineStr">
        <is>
          <t>Clinical: MedicalRecord EMR + Diagnosis + Prescription + FollowUp</t>
        </is>
      </c>
      <c r="D35" s="53" t="n">
        <v>46289</v>
      </c>
      <c r="E35" s="53" t="n">
        <v>46290</v>
      </c>
      <c r="F35" s="16" t="inlineStr">
        <is>
          <t>BE-2 (Backend)</t>
        </is>
      </c>
      <c r="G35" s="16" t="inlineStr">
        <is>
          <t>Chưa bắt đầu</t>
        </is>
      </c>
      <c r="H35" s="17" t="inlineStr">
        <is>
          <t>EMR khóa sau 24h</t>
        </is>
      </c>
      <c r="I35" s="17" t="inlineStr">
        <is>
          <t>M09: Clinical</t>
        </is>
      </c>
      <c r="J35" s="19" t="n">
        <v>0</v>
      </c>
    </row>
    <row r="36">
      <c r="A36" s="16" t="n">
        <v>32</v>
      </c>
      <c r="B36" s="17" t="inlineStr">
        <is>
          <t>W3: Commerce P1 (24–28/09)</t>
        </is>
      </c>
      <c r="C36" s="17" t="inlineStr">
        <is>
          <t>Clinical: khám/chẩn đoán/kê đơn/tái khám + Controller + tests</t>
        </is>
      </c>
      <c r="D36" s="53" t="n">
        <v>46290</v>
      </c>
      <c r="E36" s="53" t="n">
        <v>46291</v>
      </c>
      <c r="F36" s="16" t="inlineStr">
        <is>
          <t>BE-2 (Backend)</t>
        </is>
      </c>
      <c r="G36" s="16" t="inlineStr">
        <is>
          <t>Chưa bắt đầu</t>
        </is>
      </c>
      <c r="H36" s="17" t="inlineStr">
        <is>
          <t>RULE-09-01→09-07</t>
        </is>
      </c>
      <c r="I36" s="17" t="inlineStr">
        <is>
          <t>M09: Clinical</t>
        </is>
      </c>
      <c r="J36" s="19" t="n">
        <v>0</v>
      </c>
    </row>
    <row r="37">
      <c r="A37" s="16" t="n">
        <v>33</v>
      </c>
      <c r="B37" s="17" t="inlineStr">
        <is>
          <t>W3: Commerce P1 (24–28/09)</t>
        </is>
      </c>
      <c r="C37" s="17" t="inlineStr">
        <is>
          <t>Consent: Cross-Store OTP 5 phút + quyền 24h + Emergency Override</t>
        </is>
      </c>
      <c r="D37" s="53" t="n">
        <v>46291</v>
      </c>
      <c r="E37" s="53" t="n">
        <v>46292</v>
      </c>
      <c r="F37" s="16" t="inlineStr">
        <is>
          <t>BE-2 (Backend)</t>
        </is>
      </c>
      <c r="G37" s="16" t="inlineStr">
        <is>
          <t>Chưa bắt đầu</t>
        </is>
      </c>
      <c r="H37" s="17" t="inlineStr">
        <is>
          <t>Dual-protocol (FSM 16)</t>
        </is>
      </c>
      <c r="I37" s="17" t="inlineStr">
        <is>
          <t>M22: Consent</t>
        </is>
      </c>
      <c r="J37" s="19" t="n">
        <v>0</v>
      </c>
    </row>
    <row r="38">
      <c r="A38" s="16" t="n">
        <v>34</v>
      </c>
      <c r="B38" s="17" t="inlineStr">
        <is>
          <t>W3: Commerce P1 (24–28/09)</t>
        </is>
      </c>
      <c r="C38" s="17" t="inlineStr">
        <is>
          <t>Vaccination: lô vaccine + quét barcode + FEFO + lịch nhắc lại</t>
        </is>
      </c>
      <c r="D38" s="53" t="n">
        <v>46292</v>
      </c>
      <c r="E38" s="53" t="n">
        <v>46293</v>
      </c>
      <c r="F38" s="16" t="inlineStr">
        <is>
          <t>BE-2 (Backend)</t>
        </is>
      </c>
      <c r="G38" s="16" t="inlineStr">
        <is>
          <t>Chưa bắt đầu</t>
        </is>
      </c>
      <c r="H38" s="17" t="inlineStr">
        <is>
          <t>RULE-10-01→10-07</t>
        </is>
      </c>
      <c r="I38" s="17" t="inlineStr">
        <is>
          <t>M10: Vaccination</t>
        </is>
      </c>
      <c r="J38" s="19" t="n">
        <v>0</v>
      </c>
    </row>
    <row r="39">
      <c r="A39" s="16" t="n">
        <v>35</v>
      </c>
      <c r="B39" s="17" t="inlineStr">
        <is>
          <t>W3: Commerce P1 (24–28/09)</t>
        </is>
      </c>
      <c r="C39" s="17" t="inlineStr">
        <is>
          <t>FE Appointments: đặt lịch 4 bước + slot realtime</t>
        </is>
      </c>
      <c r="D39" s="53" t="n">
        <v>46289</v>
      </c>
      <c r="E39" s="53" t="n">
        <v>46291</v>
      </c>
      <c r="F39" s="16" t="inlineStr">
        <is>
          <t>FE-1 (Frontend)</t>
        </is>
      </c>
      <c r="G39" s="16" t="inlineStr">
        <is>
          <t>Chưa bắt đầu</t>
        </is>
      </c>
      <c r="H39" s="17" t="inlineStr">
        <is>
          <t>Gọi API Appointment</t>
        </is>
      </c>
      <c r="I39" s="17" t="inlineStr">
        <is>
          <t>M06: Appointment (FE)</t>
        </is>
      </c>
      <c r="J39" s="19" t="n">
        <v>0</v>
      </c>
    </row>
    <row r="40">
      <c r="A40" s="16" t="n">
        <v>36</v>
      </c>
      <c r="B40" s="17" t="inlineStr">
        <is>
          <t>W3: Commerce P1 (24–28/09)</t>
        </is>
      </c>
      <c r="C40" s="17" t="inlineStr">
        <is>
          <t>FE Orders: checkout + thanh toán VNPAY sandbox</t>
        </is>
      </c>
      <c r="D40" s="53" t="n">
        <v>46291</v>
      </c>
      <c r="E40" s="53" t="n">
        <v>46293</v>
      </c>
      <c r="F40" s="16" t="inlineStr">
        <is>
          <t>FE-1 (Frontend)</t>
        </is>
      </c>
      <c r="G40" s="16" t="inlineStr">
        <is>
          <t>Chưa bắt đầu</t>
        </is>
      </c>
      <c r="H40" s="17" t="inlineStr">
        <is>
          <t>Gọi API Order/Payment</t>
        </is>
      </c>
      <c r="I40" s="17" t="inlineStr">
        <is>
          <t>M14: Order (FE)</t>
        </is>
      </c>
      <c r="J40" s="19" t="n">
        <v>0</v>
      </c>
    </row>
    <row r="41">
      <c r="A41" s="20" t="n">
        <v>37</v>
      </c>
      <c r="B41" s="21" t="inlineStr">
        <is>
          <t>W4: Commerce P2 + Events (01–05/10)</t>
        </is>
      </c>
      <c r="C41" s="21" t="inlineStr">
        <is>
          <t>Outbox: bảng outbox_events + relay worker + idempotency consumer</t>
        </is>
      </c>
      <c r="D41" s="54" t="n">
        <v>46296</v>
      </c>
      <c r="E41" s="54" t="n">
        <v>46297</v>
      </c>
      <c r="F41" s="20" t="inlineStr">
        <is>
          <t>BE-1 (Backend)</t>
        </is>
      </c>
      <c r="G41" s="20" t="inlineStr">
        <is>
          <t>Chưa bắt đầu</t>
        </is>
      </c>
      <c r="H41" s="21" t="inlineStr">
        <is>
          <t>26 event bridges</t>
        </is>
      </c>
      <c r="I41" s="21" t="inlineStr">
        <is>
          <t>M00: Event Bridges</t>
        </is>
      </c>
      <c r="J41" s="23" t="n">
        <v>0</v>
      </c>
    </row>
    <row r="42">
      <c r="A42" s="20" t="n">
        <v>38</v>
      </c>
      <c r="B42" s="21" t="inlineStr">
        <is>
          <t>W4: Commerce P2 + Events (01–05/10)</t>
        </is>
      </c>
      <c r="C42" s="21" t="inlineStr">
        <is>
          <t>Bridge PaymentSucceeded → Invoice PAID + Order PAID/CONFIRMED</t>
        </is>
      </c>
      <c r="D42" s="54" t="n">
        <v>46297</v>
      </c>
      <c r="E42" s="54" t="n">
        <v>46298</v>
      </c>
      <c r="F42" s="20" t="inlineStr">
        <is>
          <t>BE-1 (Backend)</t>
        </is>
      </c>
      <c r="G42" s="20" t="inlineStr">
        <is>
          <t>Chưa bắt đầu</t>
        </is>
      </c>
      <c r="H42" s="21" t="inlineStr">
        <is>
          <t>Đồng bộ đa aggregate</t>
        </is>
      </c>
      <c r="I42" s="21" t="inlineStr">
        <is>
          <t>M00: Event Bridges</t>
        </is>
      </c>
      <c r="J42" s="23" t="n">
        <v>0</v>
      </c>
    </row>
    <row r="43">
      <c r="A43" s="20" t="n">
        <v>39</v>
      </c>
      <c r="B43" s="21" t="inlineStr">
        <is>
          <t>W4: Commerce P2 + Events (01–05/10)</t>
        </is>
      </c>
      <c r="C43" s="21" t="inlineStr">
        <is>
          <t>Bridge RefundCompleted + Appointment/Clinical → Invoice tự động</t>
        </is>
      </c>
      <c r="D43" s="54" t="n">
        <v>46298</v>
      </c>
      <c r="E43" s="54" t="n">
        <v>46299</v>
      </c>
      <c r="F43" s="20" t="inlineStr">
        <is>
          <t>BE-1 (Backend)</t>
        </is>
      </c>
      <c r="G43" s="20" t="inlineStr">
        <is>
          <t>Chưa bắt đầu</t>
        </is>
      </c>
      <c r="H43" s="21" t="inlineStr">
        <is>
          <t>RULE-17-09, 15-06</t>
        </is>
      </c>
      <c r="I43" s="21" t="inlineStr">
        <is>
          <t>M00: Event Bridges</t>
        </is>
      </c>
      <c r="J43" s="23" t="n">
        <v>0</v>
      </c>
    </row>
    <row r="44">
      <c r="A44" s="20" t="n">
        <v>40</v>
      </c>
      <c r="B44" s="21" t="inlineStr">
        <is>
          <t>W4: Commerce P2 + Events (01–05/10)</t>
        </is>
      </c>
      <c r="C44" s="21" t="inlineStr">
        <is>
          <t>Fix bug + polish commerce + review</t>
        </is>
      </c>
      <c r="D44" s="54" t="n">
        <v>46299</v>
      </c>
      <c r="E44" s="54" t="n">
        <v>46300</v>
      </c>
      <c r="F44" s="20" t="inlineStr">
        <is>
          <t>BE-1 (Backend)</t>
        </is>
      </c>
      <c r="G44" s="20" t="inlineStr">
        <is>
          <t>Chưa bắt đầu</t>
        </is>
      </c>
      <c r="H44" s="21" t="inlineStr">
        <is>
          <t>Review tuần</t>
        </is>
      </c>
      <c r="I44" s="21" t="inlineStr">
        <is>
          <t>M00: Polish BE</t>
        </is>
      </c>
      <c r="J44" s="23" t="n">
        <v>0</v>
      </c>
    </row>
    <row r="45">
      <c r="A45" s="20" t="n">
        <v>41</v>
      </c>
      <c r="B45" s="21" t="inlineStr">
        <is>
          <t>W4: Commerce P2 + Events (01–05/10)</t>
        </is>
      </c>
      <c r="C45" s="21" t="inlineStr">
        <is>
          <t>Promotion + Voucher full (validation stateless) + tests</t>
        </is>
      </c>
      <c r="D45" s="54" t="n">
        <v>46296</v>
      </c>
      <c r="E45" s="54" t="n">
        <v>46297</v>
      </c>
      <c r="F45" s="20" t="inlineStr">
        <is>
          <t>BE-2 (Backend)</t>
        </is>
      </c>
      <c r="G45" s="20" t="inlineStr">
        <is>
          <t>Chưa bắt đầu</t>
        </is>
      </c>
      <c r="H45" s="21" t="inlineStr">
        <is>
          <t>RULE-18-01→18-08</t>
        </is>
      </c>
      <c r="I45" s="21" t="inlineStr">
        <is>
          <t>M18: Promotion</t>
        </is>
      </c>
      <c r="J45" s="23" t="n">
        <v>0</v>
      </c>
    </row>
    <row r="46">
      <c r="A46" s="20" t="n">
        <v>42</v>
      </c>
      <c r="B46" s="21" t="inlineStr">
        <is>
          <t>W4: Commerce P2 + Events (01–05/10)</t>
        </is>
      </c>
      <c r="C46" s="21" t="inlineStr">
        <is>
          <t>Membership + Loyalty + Package (mua/kích hoạt/trừ lượt/hoàn lượt)</t>
        </is>
      </c>
      <c r="D46" s="54" t="n">
        <v>46297</v>
      </c>
      <c r="E46" s="54" t="n">
        <v>46298</v>
      </c>
      <c r="F46" s="20" t="inlineStr">
        <is>
          <t>BE-2 (Backend)</t>
        </is>
      </c>
      <c r="G46" s="20" t="inlineStr">
        <is>
          <t>Chưa bắt đầu</t>
        </is>
      </c>
      <c r="H46" s="21" t="inlineStr">
        <is>
          <t>RULE-19-xx, 20-xx</t>
        </is>
      </c>
      <c r="I46" s="21" t="inlineStr">
        <is>
          <t>M19+20: Member+Package</t>
        </is>
      </c>
      <c r="J46" s="23" t="n">
        <v>0</v>
      </c>
    </row>
    <row r="47">
      <c r="A47" s="20" t="n">
        <v>43</v>
      </c>
      <c r="B47" s="21" t="inlineStr">
        <is>
          <t>W4: Commerce P2 + Events (01–05/10)</t>
        </is>
      </c>
      <c r="C47" s="21" t="inlineStr">
        <is>
          <t>Incident + StockTransfer chênh lệch + PO nhận hàng/đóng đơn thiếu</t>
        </is>
      </c>
      <c r="D47" s="54" t="n">
        <v>46298</v>
      </c>
      <c r="E47" s="54" t="n">
        <v>46299</v>
      </c>
      <c r="F47" s="20" t="inlineStr">
        <is>
          <t>BE-2 (Backend)</t>
        </is>
      </c>
      <c r="G47" s="20" t="inlineStr">
        <is>
          <t>Chưa bắt đầu</t>
        </is>
      </c>
      <c r="H47" s="21" t="inlineStr">
        <is>
          <t>RULE-21-xx, 12-08, 13-07</t>
        </is>
      </c>
      <c r="I47" s="21" t="inlineStr">
        <is>
          <t>M21+M12+M13</t>
        </is>
      </c>
      <c r="J47" s="23" t="n">
        <v>0</v>
      </c>
    </row>
    <row r="48">
      <c r="A48" s="20" t="n">
        <v>44</v>
      </c>
      <c r="B48" s="21" t="inlineStr">
        <is>
          <t>W4: Commerce P2 + Events (01–05/10)</t>
        </is>
      </c>
      <c r="C48" s="21" t="inlineStr">
        <is>
          <t>Kiểm thử tích hợp liên module + fix bug</t>
        </is>
      </c>
      <c r="D48" s="54" t="n">
        <v>46299</v>
      </c>
      <c r="E48" s="54" t="n">
        <v>46300</v>
      </c>
      <c r="F48" s="20" t="inlineStr">
        <is>
          <t>BE-2 (Backend)</t>
        </is>
      </c>
      <c r="G48" s="20" t="inlineStr">
        <is>
          <t>Chưa bắt đầu</t>
        </is>
      </c>
      <c r="H48" s="21" t="inlineStr">
        <is>
          <t>E2E nội bộ BE</t>
        </is>
      </c>
      <c r="I48" s="21" t="inlineStr">
        <is>
          <t>M00: Polish BE</t>
        </is>
      </c>
      <c r="J48" s="23" t="n">
        <v>0</v>
      </c>
    </row>
    <row r="49">
      <c r="A49" s="20" t="n">
        <v>45</v>
      </c>
      <c r="B49" s="21" t="inlineStr">
        <is>
          <t>W4: Commerce P2 + Events (01–05/10)</t>
        </is>
      </c>
      <c r="C49" s="21" t="inlineStr">
        <is>
          <t>FE Clinical: EMR viewer + form khám/kê đơn</t>
        </is>
      </c>
      <c r="D49" s="54" t="n">
        <v>46296</v>
      </c>
      <c r="E49" s="54" t="n">
        <v>46298</v>
      </c>
      <c r="F49" s="20" t="inlineStr">
        <is>
          <t>FE-1 (Frontend)</t>
        </is>
      </c>
      <c r="G49" s="20" t="inlineStr">
        <is>
          <t>Chưa bắt đầu</t>
        </is>
      </c>
      <c r="H49" s="21" t="inlineStr">
        <is>
          <t>Gọi API Clinical</t>
        </is>
      </c>
      <c r="I49" s="21" t="inlineStr">
        <is>
          <t>M09: Clinical (FE)</t>
        </is>
      </c>
      <c r="J49" s="23" t="n">
        <v>0</v>
      </c>
    </row>
    <row r="50">
      <c r="A50" s="20" t="n">
        <v>46</v>
      </c>
      <c r="B50" s="21" t="inlineStr">
        <is>
          <t>W4: Commerce P2 + Events (01–05/10)</t>
        </is>
      </c>
      <c r="C50" s="21" t="inlineStr">
        <is>
          <t>FE Invoices + Refunds + Vouchers</t>
        </is>
      </c>
      <c r="D50" s="54" t="n">
        <v>46298</v>
      </c>
      <c r="E50" s="54" t="n">
        <v>46300</v>
      </c>
      <c r="F50" s="20" t="inlineStr">
        <is>
          <t>FE-1 (Frontend)</t>
        </is>
      </c>
      <c r="G50" s="20" t="inlineStr">
        <is>
          <t>Chưa bắt đầu</t>
        </is>
      </c>
      <c r="H50" s="21" t="inlineStr">
        <is>
          <t>Luồng tài chính FE</t>
        </is>
      </c>
      <c r="I50" s="21" t="inlineStr">
        <is>
          <t>M15+17 (FE)</t>
        </is>
      </c>
      <c r="J50" s="23" t="n">
        <v>0</v>
      </c>
    </row>
    <row r="51">
      <c r="A51" s="24" t="n">
        <v>47</v>
      </c>
      <c r="B51" s="25" t="inlineStr">
        <is>
          <t>W5: FE Integration (08–12/10)</t>
        </is>
      </c>
      <c r="C51" s="25" t="inlineStr">
        <is>
          <t>Notifications BE: OTP SMS, nhắc lịch, cảnh báo sự cố + gửi lại tối đa 3</t>
        </is>
      </c>
      <c r="D51" s="55" t="n">
        <v>46303</v>
      </c>
      <c r="E51" s="55" t="n">
        <v>46304</v>
      </c>
      <c r="F51" s="24" t="inlineStr">
        <is>
          <t>BE-1 (Backend)</t>
        </is>
      </c>
      <c r="G51" s="24" t="inlineStr">
        <is>
          <t>Chưa bắt đầu</t>
        </is>
      </c>
      <c r="H51" s="25" t="inlineStr">
        <is>
          <t>RULE-23-01→23-03</t>
        </is>
      </c>
      <c r="I51" s="25" t="inlineStr">
        <is>
          <t>M23: Notification</t>
        </is>
      </c>
      <c r="J51" s="27" t="n">
        <v>0</v>
      </c>
    </row>
    <row r="52">
      <c r="A52" s="24" t="n">
        <v>48</v>
      </c>
      <c r="B52" s="25" t="inlineStr">
        <is>
          <t>W5: FE Integration (08–12/10)</t>
        </is>
      </c>
      <c r="C52" s="25" t="inlineStr">
        <is>
          <t>Docker: image build + Compose prod + deploy staging</t>
        </is>
      </c>
      <c r="D52" s="55" t="n">
        <v>46304</v>
      </c>
      <c r="E52" s="55" t="n">
        <v>46305</v>
      </c>
      <c r="F52" s="24" t="inlineStr">
        <is>
          <t>BE-1 (Backend)</t>
        </is>
      </c>
      <c r="G52" s="24" t="inlineStr">
        <is>
          <t>Chưa bắt đầu</t>
        </is>
      </c>
      <c r="H52" s="25" t="inlineStr">
        <is>
          <t>Triển khai thử</t>
        </is>
      </c>
      <c r="I52" s="25" t="inlineStr">
        <is>
          <t>M00: Docker</t>
        </is>
      </c>
      <c r="J52" s="27" t="n">
        <v>0</v>
      </c>
    </row>
    <row r="53">
      <c r="A53" s="24" t="n">
        <v>49</v>
      </c>
      <c r="B53" s="25" t="inlineStr">
        <is>
          <t>W5: FE Integration (08–12/10)</t>
        </is>
      </c>
      <c r="C53" s="25" t="inlineStr">
        <is>
          <t>Fix bug BE/FE + rà soát API contracts</t>
        </is>
      </c>
      <c r="D53" s="55" t="n">
        <v>46305</v>
      </c>
      <c r="E53" s="55" t="n">
        <v>46307</v>
      </c>
      <c r="F53" s="24" t="inlineStr">
        <is>
          <t>BE-1 (Backend)</t>
        </is>
      </c>
      <c r="G53" s="24" t="inlineStr">
        <is>
          <t>Chưa bắt đầu</t>
        </is>
      </c>
      <c r="H53" s="25" t="inlineStr">
        <is>
          <t>Đồng bộ 3 người</t>
        </is>
      </c>
      <c r="I53" s="25" t="inlineStr">
        <is>
          <t>M00: Polish BE</t>
        </is>
      </c>
      <c r="J53" s="27" t="n">
        <v>0</v>
      </c>
    </row>
    <row r="54">
      <c r="A54" s="24" t="n">
        <v>50</v>
      </c>
      <c r="B54" s="25" t="inlineStr">
        <is>
          <t>W5: FE Integration (08–12/10)</t>
        </is>
      </c>
      <c r="C54" s="25" t="inlineStr">
        <is>
          <t>Reports: doanh thu/lịch hẹn/kho/nhân sự + đối soát NetRevenue</t>
        </is>
      </c>
      <c r="D54" s="55" t="n">
        <v>46303</v>
      </c>
      <c r="E54" s="55" t="n">
        <v>46305</v>
      </c>
      <c r="F54" s="24" t="inlineStr">
        <is>
          <t>BE-2 (Backend)</t>
        </is>
      </c>
      <c r="G54" s="24" t="inlineStr">
        <is>
          <t>Chưa bắt đầu</t>
        </is>
      </c>
      <c r="H54" s="25" t="inlineStr">
        <is>
          <t>RULE-24-01→24-05</t>
        </is>
      </c>
      <c r="I54" s="25" t="inlineStr">
        <is>
          <t>M24: Reports</t>
        </is>
      </c>
      <c r="J54" s="27" t="n">
        <v>0</v>
      </c>
    </row>
    <row r="55">
      <c r="A55" s="24" t="n">
        <v>51</v>
      </c>
      <c r="B55" s="25" t="inlineStr">
        <is>
          <t>W5: FE Integration (08–12/10)</t>
        </is>
      </c>
      <c r="C55" s="25" t="inlineStr">
        <is>
          <t>Workforce (phân ca, nghỉ phép, thay thế) + Audit Logs bất biến</t>
        </is>
      </c>
      <c r="D55" s="55" t="n">
        <v>46305</v>
      </c>
      <c r="E55" s="55" t="n">
        <v>46306</v>
      </c>
      <c r="F55" s="24" t="inlineStr">
        <is>
          <t>BE-2 (Backend)</t>
        </is>
      </c>
      <c r="G55" s="24" t="inlineStr">
        <is>
          <t>Chưa bắt đầu</t>
        </is>
      </c>
      <c r="H55" s="25" t="inlineStr">
        <is>
          <t>RULE-08-xx, 25-xx</t>
        </is>
      </c>
      <c r="I55" s="25" t="inlineStr">
        <is>
          <t>M08+M25</t>
        </is>
      </c>
      <c r="J55" s="27" t="n">
        <v>0</v>
      </c>
    </row>
    <row r="56">
      <c r="A56" s="24" t="n">
        <v>52</v>
      </c>
      <c r="B56" s="25" t="inlineStr">
        <is>
          <t>W5: FE Integration (08–12/10)</t>
        </is>
      </c>
      <c r="C56" s="25" t="inlineStr">
        <is>
          <t>Kiểm thử tích hợp toàn luồng + fix bug</t>
        </is>
      </c>
      <c r="D56" s="55" t="n">
        <v>46306</v>
      </c>
      <c r="E56" s="55" t="n">
        <v>46307</v>
      </c>
      <c r="F56" s="24" t="inlineStr">
        <is>
          <t>BE-2 (Backend)</t>
        </is>
      </c>
      <c r="G56" s="24" t="inlineStr">
        <is>
          <t>Chưa bắt đầu</t>
        </is>
      </c>
      <c r="H56" s="25" t="inlineStr">
        <is>
          <t>Luồng mua + khám</t>
        </is>
      </c>
      <c r="I56" s="25" t="inlineStr">
        <is>
          <t>M00: Polish BE</t>
        </is>
      </c>
      <c r="J56" s="27" t="n">
        <v>0</v>
      </c>
    </row>
    <row r="57">
      <c r="A57" s="24" t="n">
        <v>53</v>
      </c>
      <c r="B57" s="25" t="inlineStr">
        <is>
          <t>W5: FE Integration (08–12/10)</t>
        </is>
      </c>
      <c r="C57" s="25" t="inlineStr">
        <is>
          <t>FE Vaccinations + Walk-ins (hàng đợi FIFO)</t>
        </is>
      </c>
      <c r="D57" s="55" t="n">
        <v>46303</v>
      </c>
      <c r="E57" s="55" t="n">
        <v>46304</v>
      </c>
      <c r="F57" s="24" t="inlineStr">
        <is>
          <t>FE-1 (Frontend)</t>
        </is>
      </c>
      <c r="G57" s="24" t="inlineStr">
        <is>
          <t>Chưa bắt đầu</t>
        </is>
      </c>
      <c r="H57" s="25" t="inlineStr">
        <is>
          <t>Queue UI</t>
        </is>
      </c>
      <c r="I57" s="25" t="inlineStr">
        <is>
          <t>M10+M07 (FE)</t>
        </is>
      </c>
      <c r="J57" s="27" t="n">
        <v>0</v>
      </c>
    </row>
    <row r="58">
      <c r="A58" s="24" t="n">
        <v>54</v>
      </c>
      <c r="B58" s="25" t="inlineStr">
        <is>
          <t>W5: FE Integration (08–12/10)</t>
        </is>
      </c>
      <c r="C58" s="25" t="inlineStr">
        <is>
          <t>FE Grooming + Workforce + Reports</t>
        </is>
      </c>
      <c r="D58" s="55" t="n">
        <v>46304</v>
      </c>
      <c r="E58" s="55" t="n">
        <v>46305</v>
      </c>
      <c r="F58" s="24" t="inlineStr">
        <is>
          <t>FE-1 (Frontend)</t>
        </is>
      </c>
      <c r="G58" s="24" t="inlineStr">
        <is>
          <t>Chưa bắt đầu</t>
        </is>
      </c>
      <c r="H58" s="25" t="inlineStr">
        <is>
          <t>Trang quản trị</t>
        </is>
      </c>
      <c r="I58" s="25" t="inlineStr">
        <is>
          <t>M11+M08+M24 (FE)</t>
        </is>
      </c>
      <c r="J58" s="27" t="n">
        <v>0</v>
      </c>
    </row>
    <row r="59">
      <c r="A59" s="24" t="n">
        <v>55</v>
      </c>
      <c r="B59" s="25" t="inlineStr">
        <is>
          <t>W5: FE Integration (08–12/10)</t>
        </is>
      </c>
      <c r="C59" s="25" t="inlineStr">
        <is>
          <t>FE Notifications + responsive/mobile polish</t>
        </is>
      </c>
      <c r="D59" s="55" t="n">
        <v>46305</v>
      </c>
      <c r="E59" s="55" t="n">
        <v>46307</v>
      </c>
      <c r="F59" s="24" t="inlineStr">
        <is>
          <t>FE-1 (Frontend)</t>
        </is>
      </c>
      <c r="G59" s="24" t="inlineStr">
        <is>
          <t>Chưa bắt đầu</t>
        </is>
      </c>
      <c r="H59" s="25" t="inlineStr">
        <is>
          <t>Hoàn thiện UI</t>
        </is>
      </c>
      <c r="I59" s="25" t="inlineStr">
        <is>
          <t>M23 (FE) + Polish</t>
        </is>
      </c>
      <c r="J59" s="27" t="n">
        <v>0</v>
      </c>
    </row>
    <row r="60">
      <c r="A60" s="28" t="n">
        <v>56</v>
      </c>
      <c r="B60" s="29" t="inlineStr">
        <is>
          <t>W6: Polish (15–17/10)</t>
        </is>
      </c>
      <c r="C60" s="29" t="inlineStr">
        <is>
          <t>Unit test FSM (Appointment/Invoice/Refund) + E2E luồng Customer</t>
        </is>
      </c>
      <c r="D60" s="56" t="n">
        <v>46310</v>
      </c>
      <c r="E60" s="56" t="n">
        <v>46311</v>
      </c>
      <c r="F60" s="28" t="inlineStr">
        <is>
          <t>BE-1 (Backend)</t>
        </is>
      </c>
      <c r="G60" s="28" t="inlineStr">
        <is>
          <t>Chưa bắt đầu</t>
        </is>
      </c>
      <c r="H60" s="29" t="inlineStr">
        <is>
          <t>Mỗi transition 1 test</t>
        </is>
      </c>
      <c r="I60" s="29" t="inlineStr">
        <is>
          <t>M00: Tests</t>
        </is>
      </c>
      <c r="J60" s="31" t="n">
        <v>0</v>
      </c>
    </row>
    <row r="61">
      <c r="A61" s="28" t="n">
        <v>57</v>
      </c>
      <c r="B61" s="29" t="inlineStr">
        <is>
          <t>W6: Polish (15–17/10)</t>
        </is>
      </c>
      <c r="C61" s="29" t="inlineStr">
        <is>
          <t>Audit hoàn thiện + đối soát tài chính + xử lý blocker</t>
        </is>
      </c>
      <c r="D61" s="56" t="n">
        <v>46311</v>
      </c>
      <c r="E61" s="56" t="n">
        <v>46312</v>
      </c>
      <c r="F61" s="28" t="inlineStr">
        <is>
          <t>BE-1 (Backend)</t>
        </is>
      </c>
      <c r="G61" s="28" t="inlineStr">
        <is>
          <t>Chưa bắt đầu</t>
        </is>
      </c>
      <c r="H61" s="29" t="inlineStr">
        <is>
          <t>Definition of Done</t>
        </is>
      </c>
      <c r="I61" s="29" t="inlineStr">
        <is>
          <t>M25: Audit</t>
        </is>
      </c>
      <c r="J61" s="31" t="n">
        <v>0</v>
      </c>
    </row>
    <row r="62">
      <c r="A62" s="28" t="n">
        <v>58</v>
      </c>
      <c r="B62" s="29" t="inlineStr">
        <is>
          <t>W6: Polish (15–17/10)</t>
        </is>
      </c>
      <c r="C62" s="29" t="inlineStr">
        <is>
          <t>Walk-ins + cầu nối Appointment + Grooming FSM + phụ phí (D-02)</t>
        </is>
      </c>
      <c r="D62" s="56" t="n">
        <v>46310</v>
      </c>
      <c r="E62" s="56" t="n">
        <v>46311</v>
      </c>
      <c r="F62" s="28" t="inlineStr">
        <is>
          <t>BE-2 (Backend)</t>
        </is>
      </c>
      <c r="G62" s="28" t="inlineStr">
        <is>
          <t>Chưa bắt đầu</t>
        </is>
      </c>
      <c r="H62" s="29" t="inlineStr">
        <is>
          <t>RULE-07-xx, 11-xx</t>
        </is>
      </c>
      <c r="I62" s="29" t="inlineStr">
        <is>
          <t>M07+M11</t>
        </is>
      </c>
      <c r="J62" s="31" t="n">
        <v>0</v>
      </c>
    </row>
    <row r="63">
      <c r="A63" s="28" t="n">
        <v>59</v>
      </c>
      <c r="B63" s="29" t="inlineStr">
        <is>
          <t>W6: Polish (15–17/10)</t>
        </is>
      </c>
      <c r="C63" s="29" t="inlineStr">
        <is>
          <t>E2E luồng Staff + unit test FSM (Order/Grooming) + xử lý blocker</t>
        </is>
      </c>
      <c r="D63" s="56" t="n">
        <v>46311</v>
      </c>
      <c r="E63" s="56" t="n">
        <v>46312</v>
      </c>
      <c r="F63" s="28" t="inlineStr">
        <is>
          <t>BE-2 (Backend)</t>
        </is>
      </c>
      <c r="G63" s="28" t="inlineStr">
        <is>
          <t>Chưa bắt đầu</t>
        </is>
      </c>
      <c r="H63" s="29" t="inlineStr">
        <is>
          <t>Definition of Done</t>
        </is>
      </c>
      <c r="I63" s="29" t="inlineStr">
        <is>
          <t>M00: Tests</t>
        </is>
      </c>
      <c r="J63" s="31" t="n">
        <v>0</v>
      </c>
    </row>
    <row r="64">
      <c r="A64" s="28" t="n">
        <v>60</v>
      </c>
      <c r="B64" s="29" t="inlineStr">
        <is>
          <t>W6: Polish (15–17/10)</t>
        </is>
      </c>
      <c r="C64" s="29" t="inlineStr">
        <is>
          <t>FE: tích hợp Grooming/Walk-ins + polish cuối</t>
        </is>
      </c>
      <c r="D64" s="56" t="n">
        <v>46310</v>
      </c>
      <c r="E64" s="56" t="n">
        <v>46311</v>
      </c>
      <c r="F64" s="28" t="inlineStr">
        <is>
          <t>FE-1 (Frontend)</t>
        </is>
      </c>
      <c r="G64" s="28" t="inlineStr">
        <is>
          <t>Chưa bắt đầu</t>
        </is>
      </c>
      <c r="H64" s="29" t="inlineStr">
        <is>
          <t>Khớp API BE</t>
        </is>
      </c>
      <c r="I64" s="29" t="inlineStr">
        <is>
          <t>M11+M07 (FE)</t>
        </is>
      </c>
      <c r="J64" s="31" t="n">
        <v>0</v>
      </c>
    </row>
    <row r="65">
      <c r="A65" s="28" t="n">
        <v>61</v>
      </c>
      <c r="B65" s="29" t="inlineStr">
        <is>
          <t>W6: Polish (15–17/10)</t>
        </is>
      </c>
      <c r="C65" s="29" t="inlineStr">
        <is>
          <t>FE: rehearsal demo + fix UI cuối</t>
        </is>
      </c>
      <c r="D65" s="56" t="n">
        <v>46312</v>
      </c>
      <c r="E65" s="56" t="n">
        <v>46313</v>
      </c>
      <c r="F65" s="28" t="inlineStr">
        <is>
          <t>FE-1 (Frontend)</t>
        </is>
      </c>
      <c r="G65" s="28" t="inlineStr">
        <is>
          <t>Chưa bắt đầu</t>
        </is>
      </c>
      <c r="H65" s="29" t="inlineStr">
        <is>
          <t>Kịch bản demo</t>
        </is>
      </c>
      <c r="I65" s="29" t="inlineStr">
        <is>
          <t>M00: Demo (FE)</t>
        </is>
      </c>
      <c r="J65" s="31" t="n">
        <v>0</v>
      </c>
    </row>
    <row r="66">
      <c r="A66" s="32" t="n">
        <v>62</v>
      </c>
      <c r="B66" s="33" t="inlineStr">
        <is>
          <t>Demo &amp; Bàn giao (18–19/10)</t>
        </is>
      </c>
      <c r="C66" s="33" t="inlineStr">
        <is>
          <t>Tổng duyệt demo + review toàn bộ (cả nhóm)</t>
        </is>
      </c>
      <c r="D66" s="57" t="n">
        <v>46313</v>
      </c>
      <c r="E66" s="57" t="n">
        <v>46314</v>
      </c>
      <c r="F66" s="32" t="inlineStr">
        <is>
          <t>Cả nhóm</t>
        </is>
      </c>
      <c r="G66" s="32" t="inlineStr">
        <is>
          <t>Chưa bắt đầu</t>
        </is>
      </c>
      <c r="H66" s="33" t="inlineStr">
        <is>
          <t>Milestone M4</t>
        </is>
      </c>
      <c r="I66" s="33" t="inlineStr">
        <is>
          <t>M00: Demo</t>
        </is>
      </c>
      <c r="J66" s="35" t="n">
        <v>0</v>
      </c>
    </row>
    <row r="67">
      <c r="A67" s="32" t="n">
        <v>63</v>
      </c>
      <c r="B67" s="33" t="inlineStr">
        <is>
          <t>Demo &amp; Bàn giao (18–19/10)</t>
        </is>
      </c>
      <c r="C67" s="33" t="inlineStr">
        <is>
          <t>Dự phòng blocker + bàn giao + đóng milestone</t>
        </is>
      </c>
      <c r="D67" s="57" t="n">
        <v>46314</v>
      </c>
      <c r="E67" s="57" t="n">
        <v>46314</v>
      </c>
      <c r="F67" s="32" t="inlineStr">
        <is>
          <t>Cả nhóm</t>
        </is>
      </c>
      <c r="G67" s="32" t="inlineStr">
        <is>
          <t>Chưa bắt đầu</t>
        </is>
      </c>
      <c r="H67" s="33" t="inlineStr">
        <is>
          <t>Demo ready</t>
        </is>
      </c>
      <c r="I67" s="33" t="inlineStr">
        <is>
          <t>M00: Demo</t>
        </is>
      </c>
      <c r="J67" s="35" t="n">
        <v>0</v>
      </c>
    </row>
  </sheetData>
  <autoFilter ref="A4:J67"/>
  <mergeCells count="2">
    <mergeCell ref="A1:J1"/>
    <mergeCell ref="A2:J2"/>
  </mergeCells>
  <conditionalFormatting sqref="G5:G67">
    <cfRule type="cellIs" priority="1" operator="equal" dxfId="0">
      <formula>"Hoàn thành"</formula>
    </cfRule>
    <cfRule type="cellIs" priority="2" operator="equal" dxfId="1">
      <formula>"Đang làm"</formula>
    </cfRule>
    <cfRule type="cellIs" priority="3" operator="equal" dxfId="2">
      <formula>"Bị block"</formula>
    </cfRule>
  </conditionalFormatting>
  <conditionalFormatting sqref="E5:E67">
    <cfRule type="expression" priority="4" dxfId="2">
      <formula>AND($E5&lt;TODAY(),$G5&lt;&gt;"Hoàn thành")</formula>
    </cfRule>
  </conditionalFormatting>
  <conditionalFormatting sqref="J5:J67">
    <cfRule type="dataBar" priority="5">
      <dataBar>
        <cfvo type="num" val="0"/>
        <cfvo type="num" val="100"/>
        <color rgb="004472C4"/>
      </dataBar>
    </cfRule>
  </conditionalFormatting>
  <conditionalFormatting sqref="F5:F67">
    <cfRule type="expression" priority="6" dxfId="3">
      <formula>$F5="BE-1 (Backend)"</formula>
    </cfRule>
    <cfRule type="expression" priority="7" dxfId="4">
      <formula>$F5="BE-2 (Backend)"</formula>
    </cfRule>
    <cfRule type="expression" priority="8" dxfId="5">
      <formula>$F5="FE-1 (Frontend)"</formula>
    </cfRule>
  </conditionalFormatting>
  <dataValidations count="3">
    <dataValidation sqref="F5:F67" showDropDown="0" showInputMessage="0" showErrorMessage="0" allowBlank="0" type="list">
      <formula1>"BE-1 (Backend),BE-2 (Backend),FE-1 (Frontend),Cả nhóm"</formula1>
    </dataValidation>
    <dataValidation sqref="G5:G67" showDropDown="0" showInputMessage="0" showErrorMessage="0" allowBlank="0" type="list">
      <formula1>"Chưa bắt đầu,Đang làm,Hoàn thành,Bị block"</formula1>
    </dataValidation>
    <dataValidation sqref="J5:J67" showDropDown="0" showInputMessage="0" showErrorMessage="0" allowBlank="0" errorTitle="Tiến độ" error="Nhập số nguyên từ 0 đến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36" t="inlineStr">
        <is>
          <t>GIAI ĐOẠN</t>
        </is>
      </c>
    </row>
    <row r="2">
      <c r="A2" s="4" t="inlineStr">
        <is>
          <t>GD 0: Setup hệ thống</t>
        </is>
      </c>
      <c r="B2" s="37" t="inlineStr">
        <is>
          <t>07–09/09: kiến trúc, Maven, Docker, JWT, Swagger</t>
        </is>
      </c>
    </row>
    <row r="3">
      <c r="A3" s="8" t="inlineStr">
        <is>
          <t>W1: Foundation</t>
        </is>
      </c>
      <c r="B3" s="37" t="inlineStr">
        <is>
          <t>10–14/09: CRUD nền (Auth, Users, Org/Store, Pet, Catalog, Kho)</t>
        </is>
      </c>
    </row>
    <row r="4">
      <c r="A4" s="12" t="inlineStr">
        <is>
          <t>W2: Core Domain</t>
        </is>
      </c>
      <c r="B4" s="37" t="inlineStr">
        <is>
          <t>17–21/09: 3 FSM lõi Appointment / Order / Payment</t>
        </is>
      </c>
    </row>
    <row r="5">
      <c r="A5" s="16" t="inlineStr">
        <is>
          <t>W3: Commerce P1</t>
        </is>
      </c>
      <c r="B5" s="37" t="inlineStr">
        <is>
          <t>24–28/09: Invoice, Refund, Clinical, Consent, Vaccination</t>
        </is>
      </c>
    </row>
    <row r="6">
      <c r="A6" s="20" t="inlineStr">
        <is>
          <t>W4: Commerce P2 + Events</t>
        </is>
      </c>
      <c r="B6" s="37" t="inlineStr">
        <is>
          <t>01–05/10: Outbox + bridges + Member/Package/Incident</t>
        </is>
      </c>
    </row>
    <row r="7">
      <c r="A7" s="24" t="inlineStr">
        <is>
          <t>W5: FE Integration</t>
        </is>
      </c>
      <c r="B7" s="37" t="inlineStr">
        <is>
          <t>08–12/10: nối FE-BE, Reports, Workforce, Notifications</t>
        </is>
      </c>
    </row>
    <row r="8">
      <c r="A8" s="28" t="inlineStr">
        <is>
          <t>W6: Polish</t>
        </is>
      </c>
      <c r="B8" s="37" t="inlineStr">
        <is>
          <t>15–17/10: Grooming, Walk-ins, Tests, Audit</t>
        </is>
      </c>
    </row>
    <row r="9">
      <c r="A9" s="32" t="inlineStr">
        <is>
          <t>Demo &amp; Bàn giao</t>
        </is>
      </c>
      <c r="B9" s="37" t="inlineStr">
        <is>
          <t>18–19/10: tổng duyệt + demo (Milestone M4)</t>
        </is>
      </c>
    </row>
    <row r="10"/>
    <row r="11">
      <c r="A11" s="36" t="inlineStr">
        <is>
          <t>TRẠNG THÁI</t>
        </is>
      </c>
    </row>
    <row r="12">
      <c r="A12" s="38" t="inlineStr">
        <is>
          <t>Chưa bắt đầu</t>
        </is>
      </c>
      <c r="B12" s="37" t="inlineStr">
        <is>
          <t>Việc mới, tiến độ 0%</t>
        </is>
      </c>
    </row>
    <row r="13">
      <c r="A13" s="12" t="inlineStr">
        <is>
          <t>Đang làm</t>
        </is>
      </c>
      <c r="B13" s="37" t="inlineStr">
        <is>
          <t>Đang thực hiện, cập nhật tiến độ %</t>
        </is>
      </c>
    </row>
    <row r="14">
      <c r="A14" s="8" t="inlineStr">
        <is>
          <t>Hoàn thành</t>
        </is>
      </c>
      <c r="B14" s="37" t="inlineStr">
        <is>
          <t>Xong + test theo Definition of Done, tiến độ 100%</t>
        </is>
      </c>
    </row>
    <row r="15">
      <c r="A15" s="39" t="inlineStr">
        <is>
          <t>Bị block</t>
        </is>
      </c>
      <c r="B15" s="37" t="inlineStr">
        <is>
          <t>Tắc nghẽn — ghi rõ blocker ở cột Ghi chú</t>
        </is>
      </c>
    </row>
    <row r="16"/>
    <row r="17">
      <c r="A17" s="36" t="inlineStr">
        <is>
          <t>NGƯỜI THỰC HIỆN</t>
        </is>
      </c>
    </row>
    <row r="18">
      <c r="A18" s="20" t="inlineStr">
        <is>
          <t>BE-1 (Backend)</t>
        </is>
      </c>
      <c r="B18" s="37" t="inlineStr">
        <is>
          <t>Backend Lead: Auth/IAM/Org/Appointment/Invoice/Refund/Outbox/Docker</t>
        </is>
      </c>
    </row>
    <row r="19">
      <c r="A19" s="40" t="inlineStr">
        <is>
          <t>BE-2 (Backend)</t>
        </is>
      </c>
      <c r="B19" s="37" t="inlineStr">
        <is>
          <t>Backend: Pet/Order/Payment/Clinical/Inventory/Reports...</t>
        </is>
      </c>
    </row>
    <row r="20">
      <c r="A20" s="16" t="inlineStr">
        <is>
          <t>FE-1 (Frontend)</t>
        </is>
      </c>
      <c r="B20" s="37" t="inlineStr">
        <is>
          <t>Frontend: toàn bộ UI + tích hợp API + polish</t>
        </is>
      </c>
    </row>
    <row r="21">
      <c r="A21" s="32" t="inlineStr">
        <is>
          <t>Cả nhóm</t>
        </is>
      </c>
      <c r="B21" s="37" t="inlineStr">
        <is>
          <t>Demo, tổng duyệt, xử lý blocker chung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10" customWidth="1" min="5" max="5"/>
    <col width="24" customWidth="1" min="6" max="6"/>
    <col width="22" customWidth="1" min="7" max="7"/>
  </cols>
  <sheetData>
    <row r="1">
      <c r="A1" s="3" t="inlineStr">
        <is>
          <t>Module (25 phân hệ)</t>
        </is>
      </c>
      <c r="B1" s="3" t="inlineStr">
        <is>
          <t>BE-1</t>
        </is>
      </c>
      <c r="C1" s="3" t="inlineStr">
        <is>
          <t>BE-2</t>
        </is>
      </c>
      <c r="D1" s="3" t="inlineStr">
        <is>
          <t>FE-1</t>
        </is>
      </c>
      <c r="E1" s="3" t="inlineStr">
        <is>
          <t>Tuần</t>
        </is>
      </c>
      <c r="F1" s="3" t="inlineStr">
        <is>
          <t>FSM</t>
        </is>
      </c>
      <c r="G1" s="3" t="inlineStr">
        <is>
          <t>Rules</t>
        </is>
      </c>
    </row>
    <row r="2">
      <c r="A2" s="41" t="inlineStr">
        <is>
          <t>M01: Auth + OTP</t>
        </is>
      </c>
      <c r="B2" s="42" t="inlineStr">
        <is>
          <t>X</t>
        </is>
      </c>
      <c r="C2" s="43" t="inlineStr"/>
      <c r="D2" s="43" t="inlineStr"/>
      <c r="E2" s="43" t="inlineStr">
        <is>
          <t>W1</t>
        </is>
      </c>
      <c r="F2" s="43" t="inlineStr">
        <is>
          <t>Không</t>
        </is>
      </c>
      <c r="G2" s="43" t="inlineStr">
        <is>
          <t>RULE-01-01→01-08</t>
        </is>
      </c>
    </row>
    <row r="3">
      <c r="A3" s="41" t="inlineStr">
        <is>
          <t>M02: IAM (Users/Roles)</t>
        </is>
      </c>
      <c r="B3" s="42" t="inlineStr">
        <is>
          <t>X</t>
        </is>
      </c>
      <c r="C3" s="43" t="inlineStr"/>
      <c r="D3" s="43" t="inlineStr"/>
      <c r="E3" s="43" t="inlineStr">
        <is>
          <t>W1</t>
        </is>
      </c>
      <c r="F3" s="43" t="inlineStr">
        <is>
          <t>Không</t>
        </is>
      </c>
      <c r="G3" s="43" t="inlineStr">
        <is>
          <t>RULE-02-01→02-07</t>
        </is>
      </c>
    </row>
    <row r="4">
      <c r="A4" s="41" t="inlineStr">
        <is>
          <t>M03: Organization &amp; Store</t>
        </is>
      </c>
      <c r="B4" s="42" t="inlineStr">
        <is>
          <t>X</t>
        </is>
      </c>
      <c r="C4" s="43" t="inlineStr"/>
      <c r="D4" s="43" t="inlineStr"/>
      <c r="E4" s="43" t="inlineStr">
        <is>
          <t>W1</t>
        </is>
      </c>
      <c r="F4" s="43" t="inlineStr">
        <is>
          <t>Có (Store 5 states)</t>
        </is>
      </c>
      <c r="G4" s="43" t="inlineStr">
        <is>
          <t>RULE-03-01→03-08</t>
        </is>
      </c>
    </row>
    <row r="5">
      <c r="A5" s="41" t="inlineStr">
        <is>
          <t>M04: Customer &amp; Pet + Caregiver</t>
        </is>
      </c>
      <c r="B5" s="43" t="inlineStr"/>
      <c r="C5" s="42" t="inlineStr">
        <is>
          <t>X</t>
        </is>
      </c>
      <c r="D5" s="43" t="inlineStr"/>
      <c r="E5" s="43" t="inlineStr">
        <is>
          <t>W1</t>
        </is>
      </c>
      <c r="F5" s="43" t="inlineStr">
        <is>
          <t>Có (Caregiver 5 states)</t>
        </is>
      </c>
      <c r="G5" s="43" t="inlineStr">
        <is>
          <t>RULE-04-01→04-09</t>
        </is>
      </c>
    </row>
    <row r="6">
      <c r="A6" s="41" t="inlineStr">
        <is>
          <t>M05: Service &amp; Product Catalog</t>
        </is>
      </c>
      <c r="B6" s="43" t="inlineStr"/>
      <c r="C6" s="42" t="inlineStr">
        <is>
          <t>X</t>
        </is>
      </c>
      <c r="D6" s="43" t="inlineStr"/>
      <c r="E6" s="43" t="inlineStr">
        <is>
          <t>W1</t>
        </is>
      </c>
      <c r="F6" s="43" t="inlineStr">
        <is>
          <t>Không</t>
        </is>
      </c>
      <c r="G6" s="43" t="inlineStr">
        <is>
          <t>RULE-05-01→05-06</t>
        </is>
      </c>
    </row>
    <row r="7">
      <c r="A7" s="41" t="inlineStr">
        <is>
          <t>M06: Appointment &amp; Scheduling</t>
        </is>
      </c>
      <c r="B7" s="42" t="inlineStr">
        <is>
          <t>X</t>
        </is>
      </c>
      <c r="C7" s="43" t="inlineStr"/>
      <c r="D7" s="43" t="inlineStr"/>
      <c r="E7" s="43" t="inlineStr">
        <is>
          <t>W2</t>
        </is>
      </c>
      <c r="F7" s="43" t="inlineStr">
        <is>
          <t>Có (8 states)</t>
        </is>
      </c>
      <c r="G7" s="43" t="inlineStr">
        <is>
          <t>RULE-06-01→06-14</t>
        </is>
      </c>
    </row>
    <row r="8">
      <c r="A8" s="41" t="inlineStr">
        <is>
          <t>M07: Walk-in &amp; Queue</t>
        </is>
      </c>
      <c r="B8" s="43" t="inlineStr"/>
      <c r="C8" s="42" t="inlineStr">
        <is>
          <t>X</t>
        </is>
      </c>
      <c r="D8" s="43" t="inlineStr"/>
      <c r="E8" s="43" t="inlineStr">
        <is>
          <t>W6</t>
        </is>
      </c>
      <c r="F8" s="43" t="inlineStr">
        <is>
          <t>Có (Queue 6 states)</t>
        </is>
      </c>
      <c r="G8" s="43" t="inlineStr">
        <is>
          <t>RULE-07-01→07-08</t>
        </is>
      </c>
    </row>
    <row r="9">
      <c r="A9" s="41" t="inlineStr">
        <is>
          <t>M08: Workforce</t>
        </is>
      </c>
      <c r="B9" s="43" t="inlineStr"/>
      <c r="C9" s="42" t="inlineStr">
        <is>
          <t>X</t>
        </is>
      </c>
      <c r="D9" s="43" t="inlineStr"/>
      <c r="E9" s="43" t="inlineStr">
        <is>
          <t>W5</t>
        </is>
      </c>
      <c r="F9" s="43" t="inlineStr">
        <is>
          <t>Không</t>
        </is>
      </c>
      <c r="G9" s="43" t="inlineStr">
        <is>
          <t>RULE-08-01→08-07</t>
        </is>
      </c>
    </row>
    <row r="10">
      <c r="A10" s="41" t="inlineStr">
        <is>
          <t>M09: Clinical (EMR)</t>
        </is>
      </c>
      <c r="B10" s="43" t="inlineStr"/>
      <c r="C10" s="42" t="inlineStr">
        <is>
          <t>X</t>
        </is>
      </c>
      <c r="D10" s="43" t="inlineStr"/>
      <c r="E10" s="43" t="inlineStr">
        <is>
          <t>W3</t>
        </is>
      </c>
      <c r="F10" s="43" t="inlineStr">
        <is>
          <t>Không (khóa 24h)</t>
        </is>
      </c>
      <c r="G10" s="43" t="inlineStr">
        <is>
          <t>RULE-09-01→09-08</t>
        </is>
      </c>
    </row>
    <row r="11">
      <c r="A11" s="41" t="inlineStr">
        <is>
          <t>M10: Vaccination</t>
        </is>
      </c>
      <c r="B11" s="43" t="inlineStr"/>
      <c r="C11" s="42" t="inlineStr">
        <is>
          <t>X</t>
        </is>
      </c>
      <c r="D11" s="43" t="inlineStr"/>
      <c r="E11" s="43" t="inlineStr">
        <is>
          <t>W3</t>
        </is>
      </c>
      <c r="F11" s="43" t="inlineStr">
        <is>
          <t>Không (FEFO)</t>
        </is>
      </c>
      <c r="G11" s="43" t="inlineStr">
        <is>
          <t>RULE-10-01→10-07</t>
        </is>
      </c>
    </row>
    <row r="12">
      <c r="A12" s="41" t="inlineStr">
        <is>
          <t>M11: Grooming</t>
        </is>
      </c>
      <c r="B12" s="43" t="inlineStr"/>
      <c r="C12" s="42" t="inlineStr">
        <is>
          <t>X</t>
        </is>
      </c>
      <c r="D12" s="43" t="inlineStr"/>
      <c r="E12" s="43" t="inlineStr">
        <is>
          <t>W6</t>
        </is>
      </c>
      <c r="F12" s="43" t="inlineStr">
        <is>
          <t>Có (7 states)</t>
        </is>
      </c>
      <c r="G12" s="43" t="inlineStr">
        <is>
          <t>RULE-11-01→11-06</t>
        </is>
      </c>
    </row>
    <row r="13">
      <c r="A13" s="41" t="inlineStr">
        <is>
          <t>M12: Inventory &amp; Warehouse</t>
        </is>
      </c>
      <c r="B13" s="43" t="inlineStr"/>
      <c r="C13" s="42" t="inlineStr">
        <is>
          <t>X</t>
        </is>
      </c>
      <c r="D13" s="43" t="inlineStr"/>
      <c r="E13" s="43" t="inlineStr">
        <is>
          <t>W1+W4</t>
        </is>
      </c>
      <c r="F13" s="43" t="inlineStr">
        <is>
          <t>Có (StockTransfer 7 states)</t>
        </is>
      </c>
      <c r="G13" s="43" t="inlineStr">
        <is>
          <t>RULE-12-01→12-13</t>
        </is>
      </c>
    </row>
    <row r="14">
      <c r="A14" s="41" t="inlineStr">
        <is>
          <t>M13: Procurement</t>
        </is>
      </c>
      <c r="B14" s="43" t="inlineStr"/>
      <c r="C14" s="42" t="inlineStr">
        <is>
          <t>X</t>
        </is>
      </c>
      <c r="D14" s="43" t="inlineStr"/>
      <c r="E14" s="43" t="inlineStr">
        <is>
          <t>W1+W4</t>
        </is>
      </c>
      <c r="F14" s="43" t="inlineStr">
        <is>
          <t>Có (PR 5 + PO 5 states)</t>
        </is>
      </c>
      <c r="G14" s="43" t="inlineStr">
        <is>
          <t>RULE-13-01→13-08</t>
        </is>
      </c>
    </row>
    <row r="15">
      <c r="A15" s="41" t="inlineStr">
        <is>
          <t>M14: Order</t>
        </is>
      </c>
      <c r="B15" s="43" t="inlineStr"/>
      <c r="C15" s="42" t="inlineStr">
        <is>
          <t>X</t>
        </is>
      </c>
      <c r="D15" s="43" t="inlineStr"/>
      <c r="E15" s="43" t="inlineStr">
        <is>
          <t>W2</t>
        </is>
      </c>
      <c r="F15" s="43" t="inlineStr">
        <is>
          <t>Có (8 states, D-03)</t>
        </is>
      </c>
      <c r="G15" s="43" t="inlineStr">
        <is>
          <t>RULE-14-01→14-09</t>
        </is>
      </c>
    </row>
    <row r="16">
      <c r="A16" s="41" t="inlineStr">
        <is>
          <t>M15: Invoice</t>
        </is>
      </c>
      <c r="B16" s="42" t="inlineStr">
        <is>
          <t>X</t>
        </is>
      </c>
      <c r="C16" s="43" t="inlineStr"/>
      <c r="D16" s="43" t="inlineStr"/>
      <c r="E16" s="43" t="inlineStr">
        <is>
          <t>W3</t>
        </is>
      </c>
      <c r="F16" s="43" t="inlineStr">
        <is>
          <t>Có (5 states, D-01/D-02)</t>
        </is>
      </c>
      <c r="G16" s="43" t="inlineStr">
        <is>
          <t>RULE-15-01→15-08</t>
        </is>
      </c>
    </row>
    <row r="17">
      <c r="A17" s="41" t="inlineStr">
        <is>
          <t>M16: Payment</t>
        </is>
      </c>
      <c r="B17" s="43" t="inlineStr"/>
      <c r="C17" s="42" t="inlineStr">
        <is>
          <t>X</t>
        </is>
      </c>
      <c r="D17" s="43" t="inlineStr"/>
      <c r="E17" s="43" t="inlineStr">
        <is>
          <t>W2</t>
        </is>
      </c>
      <c r="F17" s="43" t="inlineStr">
        <is>
          <t>Có (7 states)</t>
        </is>
      </c>
      <c r="G17" s="43" t="inlineStr">
        <is>
          <t>RULE-16-01→16-07</t>
        </is>
      </c>
    </row>
    <row r="18">
      <c r="A18" s="41" t="inlineStr">
        <is>
          <t>M17: Refund</t>
        </is>
      </c>
      <c r="B18" s="42" t="inlineStr">
        <is>
          <t>X</t>
        </is>
      </c>
      <c r="C18" s="43" t="inlineStr"/>
      <c r="D18" s="43" t="inlineStr"/>
      <c r="E18" s="43" t="inlineStr">
        <is>
          <t>W3</t>
        </is>
      </c>
      <c r="F18" s="43" t="inlineStr">
        <is>
          <t>Có (6 states)</t>
        </is>
      </c>
      <c r="G18" s="43" t="inlineStr">
        <is>
          <t>RULE-17-01→17-10</t>
        </is>
      </c>
    </row>
    <row r="19">
      <c r="A19" s="41" t="inlineStr">
        <is>
          <t>M18: Promotion &amp; Voucher</t>
        </is>
      </c>
      <c r="B19" s="43" t="inlineStr"/>
      <c r="C19" s="42" t="inlineStr">
        <is>
          <t>X</t>
        </is>
      </c>
      <c r="D19" s="43" t="inlineStr"/>
      <c r="E19" s="43" t="inlineStr">
        <is>
          <t>W4</t>
        </is>
      </c>
      <c r="F19" s="43" t="inlineStr">
        <is>
          <t>Không (stateless)</t>
        </is>
      </c>
      <c r="G19" s="43" t="inlineStr">
        <is>
          <t>RULE-18-01→18-08</t>
        </is>
      </c>
    </row>
    <row r="20">
      <c r="A20" s="41" t="inlineStr">
        <is>
          <t>M19: Membership &amp; Loyalty</t>
        </is>
      </c>
      <c r="B20" s="43" t="inlineStr"/>
      <c r="C20" s="42" t="inlineStr">
        <is>
          <t>X</t>
        </is>
      </c>
      <c r="D20" s="43" t="inlineStr"/>
      <c r="E20" s="43" t="inlineStr">
        <is>
          <t>W4</t>
        </is>
      </c>
      <c r="F20" s="43" t="inlineStr">
        <is>
          <t>Có (3 states)</t>
        </is>
      </c>
      <c r="G20" s="43" t="inlineStr">
        <is>
          <t>RULE-19-01→19-10</t>
        </is>
      </c>
    </row>
    <row r="21">
      <c r="A21" s="41" t="inlineStr">
        <is>
          <t>M20: Package</t>
        </is>
      </c>
      <c r="B21" s="43" t="inlineStr"/>
      <c r="C21" s="42" t="inlineStr">
        <is>
          <t>X</t>
        </is>
      </c>
      <c r="D21" s="43" t="inlineStr"/>
      <c r="E21" s="43" t="inlineStr">
        <is>
          <t>W4</t>
        </is>
      </c>
      <c r="F21" s="43" t="inlineStr">
        <is>
          <t>Có (6 states)</t>
        </is>
      </c>
      <c r="G21" s="43" t="inlineStr">
        <is>
          <t>RULE-20-01→20-08</t>
        </is>
      </c>
    </row>
    <row r="22">
      <c r="A22" s="41" t="inlineStr">
        <is>
          <t>M21: Incident</t>
        </is>
      </c>
      <c r="B22" s="43" t="inlineStr"/>
      <c r="C22" s="42" t="inlineStr">
        <is>
          <t>X</t>
        </is>
      </c>
      <c r="D22" s="43" t="inlineStr"/>
      <c r="E22" s="43" t="inlineStr">
        <is>
          <t>W4</t>
        </is>
      </c>
      <c r="F22" s="43" t="inlineStr">
        <is>
          <t>Có (6 states)</t>
        </is>
      </c>
      <c r="G22" s="43" t="inlineStr">
        <is>
          <t>RULE-21-01→21-08</t>
        </is>
      </c>
    </row>
    <row r="23">
      <c r="A23" s="41" t="inlineStr">
        <is>
          <t>M22: Consent &amp; Privacy</t>
        </is>
      </c>
      <c r="B23" s="43" t="inlineStr"/>
      <c r="C23" s="42" t="inlineStr">
        <is>
          <t>X</t>
        </is>
      </c>
      <c r="D23" s="43" t="inlineStr"/>
      <c r="E23" s="43" t="inlineStr">
        <is>
          <t>W3</t>
        </is>
      </c>
      <c r="F23" s="43" t="inlineStr">
        <is>
          <t>Có (4 states)</t>
        </is>
      </c>
      <c r="G23" s="43" t="inlineStr">
        <is>
          <t>RULE-22-01→22-10</t>
        </is>
      </c>
    </row>
    <row r="24">
      <c r="A24" s="41" t="inlineStr">
        <is>
          <t>M23: Notification</t>
        </is>
      </c>
      <c r="B24" s="42" t="inlineStr">
        <is>
          <t>X</t>
        </is>
      </c>
      <c r="C24" s="43" t="inlineStr"/>
      <c r="D24" s="43" t="inlineStr"/>
      <c r="E24" s="43" t="inlineStr">
        <is>
          <t>W5</t>
        </is>
      </c>
      <c r="F24" s="43" t="inlineStr">
        <is>
          <t>Không</t>
        </is>
      </c>
      <c r="G24" s="43" t="inlineStr">
        <is>
          <t>RULE-23-01→23-06</t>
        </is>
      </c>
    </row>
    <row r="25">
      <c r="A25" s="41" t="inlineStr">
        <is>
          <t>M24: Reports &amp; Analytics</t>
        </is>
      </c>
      <c r="B25" s="43" t="inlineStr"/>
      <c r="C25" s="42" t="inlineStr">
        <is>
          <t>X</t>
        </is>
      </c>
      <c r="D25" s="43" t="inlineStr"/>
      <c r="E25" s="43" t="inlineStr">
        <is>
          <t>W5</t>
        </is>
      </c>
      <c r="F25" s="43" t="inlineStr">
        <is>
          <t>Không</t>
        </is>
      </c>
      <c r="G25" s="43" t="inlineStr">
        <is>
          <t>RULE-24-01→24-08</t>
        </is>
      </c>
    </row>
    <row r="26">
      <c r="A26" s="41" t="inlineStr">
        <is>
          <t>M25: Audit</t>
        </is>
      </c>
      <c r="B26" s="42" t="inlineStr">
        <is>
          <t>X</t>
        </is>
      </c>
      <c r="C26" s="43" t="inlineStr"/>
      <c r="D26" s="43" t="inlineStr"/>
      <c r="E26" s="43" t="inlineStr">
        <is>
          <t>W5+W6</t>
        </is>
      </c>
      <c r="F26" s="43" t="inlineStr">
        <is>
          <t>Không (append-only)</t>
        </is>
      </c>
      <c r="G26" s="43" t="inlineStr">
        <is>
          <t>RULE-25-01→25-07</t>
        </is>
      </c>
    </row>
    <row r="27">
      <c r="A27" s="41" t="inlineStr">
        <is>
          <t>Event Bridges (Outbox)</t>
        </is>
      </c>
      <c r="B27" s="42" t="inlineStr">
        <is>
          <t>X</t>
        </is>
      </c>
      <c r="C27" s="42" t="inlineStr">
        <is>
          <t>X</t>
        </is>
      </c>
      <c r="D27" s="43" t="inlineStr"/>
      <c r="E27" s="43" t="inlineStr">
        <is>
          <t>W4</t>
        </is>
      </c>
      <c r="F27" s="43" t="inlineStr">
        <is>
          <t>26 bridges</t>
        </is>
      </c>
      <c r="G27" s="43" t="inlineStr">
        <is>
          <t>docs/03 §18–19</t>
        </is>
      </c>
    </row>
    <row r="28">
      <c r="A28" s="41" t="inlineStr">
        <is>
          <t>Frontend Integration</t>
        </is>
      </c>
      <c r="B28" s="43" t="inlineStr"/>
      <c r="C28" s="43" t="inlineStr"/>
      <c r="D28" s="42" t="inlineStr">
        <is>
          <t>X</t>
        </is>
      </c>
      <c r="E28" s="43" t="inlineStr">
        <is>
          <t>W1→W6</t>
        </is>
      </c>
      <c r="F28" s="43" t="inlineStr">
        <is>
          <t>Không</t>
        </is>
      </c>
      <c r="G28" s="43" t="inlineStr">
        <is>
          <t>Theo API contracts</t>
        </is>
      </c>
    </row>
    <row r="29">
      <c r="A29" s="41" t="inlineStr">
        <is>
          <t>Docker + Deploy</t>
        </is>
      </c>
      <c r="B29" s="42" t="inlineStr">
        <is>
          <t>X</t>
        </is>
      </c>
      <c r="C29" s="43" t="inlineStr"/>
      <c r="D29" s="43" t="inlineStr"/>
      <c r="E29" s="43" t="inlineStr">
        <is>
          <t>W5</t>
        </is>
      </c>
      <c r="F29" s="43" t="inlineStr">
        <is>
          <t>Không</t>
        </is>
      </c>
      <c r="G29" s="43" t="inlineStr">
        <is>
          <t>—</t>
        </is>
      </c>
    </row>
    <row r="30">
      <c r="A30" s="41" t="inlineStr">
        <is>
          <t>Tests (unit + E2E)</t>
        </is>
      </c>
      <c r="B30" s="42" t="inlineStr">
        <is>
          <t>X</t>
        </is>
      </c>
      <c r="C30" s="42" t="inlineStr">
        <is>
          <t>X</t>
        </is>
      </c>
      <c r="D30" s="42" t="inlineStr">
        <is>
          <t>X</t>
        </is>
      </c>
      <c r="E30" s="43" t="inlineStr">
        <is>
          <t>Xuyên suốt</t>
        </is>
      </c>
      <c r="F30" s="43" t="inlineStr">
        <is>
          <t>Mỗi transition 1 test</t>
        </is>
      </c>
      <c r="G30" s="43" t="inlineStr">
        <is>
          <t>DoD</t>
        </is>
      </c>
    </row>
  </sheetData>
  <autoFilter ref="A1:G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26" customWidth="1" min="3" max="3"/>
    <col width="24" customWidth="1" min="4" max="4"/>
    <col width="10" customWidth="1" min="5" max="5"/>
    <col width="8" customWidth="1" min="6" max="6"/>
  </cols>
  <sheetData>
    <row r="1">
      <c r="A1" s="3" t="inlineStr">
        <is>
          <t>FSM</t>
        </is>
      </c>
      <c r="B1" s="3" t="inlineStr">
        <is>
          <t>States</t>
        </is>
      </c>
      <c r="C1" s="3" t="inlineStr">
        <is>
          <t>Transitions</t>
        </is>
      </c>
      <c r="D1" s="3" t="inlineStr">
        <is>
          <t>Guards (Rules)</t>
        </is>
      </c>
      <c r="E1" s="3" t="inlineStr">
        <is>
          <t>Owner</t>
        </is>
      </c>
      <c r="F1" s="3" t="inlineStr">
        <is>
          <t>Tuần</t>
        </is>
      </c>
    </row>
    <row r="2">
      <c r="A2" s="41" t="inlineStr">
        <is>
          <t>Account</t>
        </is>
      </c>
      <c r="B2" s="43" t="inlineStr">
        <is>
          <t>PENDING_VERIFICATION, ACTIVE, LOCKED, DEACTIVATED</t>
        </is>
      </c>
      <c r="C2" s="43" t="inlineStr">
        <is>
          <t>4 (+D-04)</t>
        </is>
      </c>
      <c r="D2" s="43" t="inlineStr">
        <is>
          <t>RULE-01-01→01-08</t>
        </is>
      </c>
      <c r="E2" s="43" t="inlineStr">
        <is>
          <t>BE-1</t>
        </is>
      </c>
      <c r="F2" s="43" t="inlineStr">
        <is>
          <t>W1</t>
        </is>
      </c>
    </row>
    <row r="3">
      <c r="A3" s="41" t="inlineStr">
        <is>
          <t>Store</t>
        </is>
      </c>
      <c r="B3" s="43" t="inlineStr">
        <is>
          <t>DRAFT, ACTIVE, SUSPENDED, DEACTIVATED, ARCHIVED</t>
        </is>
      </c>
      <c r="C3" s="43" t="inlineStr">
        <is>
          <t>8</t>
        </is>
      </c>
      <c r="D3" s="43" t="inlineStr">
        <is>
          <t>RULE-03-01→03-08</t>
        </is>
      </c>
      <c r="E3" s="43" t="inlineStr">
        <is>
          <t>BE-1</t>
        </is>
      </c>
      <c r="F3" s="43" t="inlineStr">
        <is>
          <t>W1</t>
        </is>
      </c>
    </row>
    <row r="4">
      <c r="A4" s="41" t="inlineStr">
        <is>
          <t>Caregiver</t>
        </is>
      </c>
      <c r="B4" s="43" t="inlineStr">
        <is>
          <t>INVITED, ACTIVE, REJECTED, EXPIRED, REVOKED</t>
        </is>
      </c>
      <c r="C4" s="43" t="inlineStr">
        <is>
          <t>6</t>
        </is>
      </c>
      <c r="D4" s="43" t="inlineStr">
        <is>
          <t>RULE-04-04→04-09</t>
        </is>
      </c>
      <c r="E4" s="43" t="inlineStr">
        <is>
          <t>BE-2</t>
        </is>
      </c>
      <c r="F4" s="43" t="inlineStr">
        <is>
          <t>W1</t>
        </is>
      </c>
    </row>
    <row r="5">
      <c r="A5" s="41" t="inlineStr">
        <is>
          <t>BookingHold</t>
        </is>
      </c>
      <c r="B5" s="43" t="inlineStr">
        <is>
          <t>HOLDING, CONFIRMED, RELEASED, EXPIRED</t>
        </is>
      </c>
      <c r="C5" s="43" t="inlineStr">
        <is>
          <t>4 (TTL 15 phút)</t>
        </is>
      </c>
      <c r="D5" s="43" t="inlineStr">
        <is>
          <t>RULE-06-01</t>
        </is>
      </c>
      <c r="E5" s="43" t="inlineStr">
        <is>
          <t>BE-1</t>
        </is>
      </c>
      <c r="F5" s="43" t="inlineStr">
        <is>
          <t>W2</t>
        </is>
      </c>
    </row>
    <row r="6">
      <c r="A6" s="41" t="inlineStr">
        <is>
          <t>Appointment</t>
        </is>
      </c>
      <c r="B6" s="43" t="inlineStr">
        <is>
          <t>BOOKED, CONFIRMED, CHECKED_IN, IN_PROGRESS, COMPLETED, CANCELLED, NO_SHOW, ABORTED</t>
        </is>
      </c>
      <c r="C6" s="43" t="inlineStr">
        <is>
          <t>15 (+Reschedule)</t>
        </is>
      </c>
      <c r="D6" s="43" t="inlineStr">
        <is>
          <t>RULE-06-01→06-14</t>
        </is>
      </c>
      <c r="E6" s="43" t="inlineStr">
        <is>
          <t>BE-1</t>
        </is>
      </c>
      <c r="F6" s="43" t="inlineStr">
        <is>
          <t>W2</t>
        </is>
      </c>
    </row>
    <row r="7">
      <c r="A7" s="41" t="inlineStr">
        <is>
          <t>Order</t>
        </is>
      </c>
      <c r="B7" s="43" t="inlineStr">
        <is>
          <t>PENDING_PAYMENT, PAID, CONFIRMED, PROCESSING, READY, DELIVERED, CANCELLED, REFUNDED</t>
        </is>
      </c>
      <c r="C7" s="43" t="inlineStr">
        <is>
          <t>15 (+Timeout/CancelRefund)</t>
        </is>
      </c>
      <c r="D7" s="43" t="inlineStr">
        <is>
          <t>RULE-14-01→14-09</t>
        </is>
      </c>
      <c r="E7" s="43" t="inlineStr">
        <is>
          <t>BE-2</t>
        </is>
      </c>
      <c r="F7" s="43" t="inlineStr">
        <is>
          <t>W2</t>
        </is>
      </c>
    </row>
    <row r="8">
      <c r="A8" s="41" t="inlineStr">
        <is>
          <t>Payment</t>
        </is>
      </c>
      <c r="B8" s="43" t="inlineStr">
        <is>
          <t>PENDING, PROCESSING, SUCCESS, PARTIALLY_REFUNDED, REFUNDED, FAILED, CANCELLED</t>
        </is>
      </c>
      <c r="C8" s="43" t="inlineStr">
        <is>
          <t>12</t>
        </is>
      </c>
      <c r="D8" s="43" t="inlineStr">
        <is>
          <t>RULE-16-01→16-07</t>
        </is>
      </c>
      <c r="E8" s="43" t="inlineStr">
        <is>
          <t>BE-2</t>
        </is>
      </c>
      <c r="F8" s="43" t="inlineStr">
        <is>
          <t>W2</t>
        </is>
      </c>
    </row>
    <row r="9">
      <c r="A9" s="41" t="inlineStr">
        <is>
          <t>Invoice</t>
        </is>
      </c>
      <c r="B9" s="43" t="inlineStr">
        <is>
          <t>DRAFT, ISSUED, PAID, VOID, CANCELLED</t>
        </is>
      </c>
      <c r="C9" s="43" t="inlineStr">
        <is>
          <t>5 (D-01/D-02)</t>
        </is>
      </c>
      <c r="D9" s="43" t="inlineStr">
        <is>
          <t>RULE-15-01→15-08</t>
        </is>
      </c>
      <c r="E9" s="43" t="inlineStr">
        <is>
          <t>BE-1</t>
        </is>
      </c>
      <c r="F9" s="43" t="inlineStr">
        <is>
          <t>W3</t>
        </is>
      </c>
    </row>
    <row r="10">
      <c r="A10" s="41" t="inlineStr">
        <is>
          <t>Refund</t>
        </is>
      </c>
      <c r="B10" s="43" t="inlineStr">
        <is>
          <t>REQUESTED, APPROVED, REJECTED, PROCESSING, COMPLETED, FAILED</t>
        </is>
      </c>
      <c r="C10" s="43" t="inlineStr">
        <is>
          <t>8 (+Retry/Manual/30d)</t>
        </is>
      </c>
      <c r="D10" s="43" t="inlineStr">
        <is>
          <t>RULE-17-01→17-10</t>
        </is>
      </c>
      <c r="E10" s="43" t="inlineStr">
        <is>
          <t>BE-1</t>
        </is>
      </c>
      <c r="F10" s="43" t="inlineStr">
        <is>
          <t>W3</t>
        </is>
      </c>
    </row>
    <row r="11">
      <c r="A11" s="41" t="inlineStr">
        <is>
          <t>Membership</t>
        </is>
      </c>
      <c r="B11" s="43" t="inlineStr">
        <is>
          <t>ACTIVE, UPGRADED, EXPIRED</t>
        </is>
      </c>
      <c r="C11" s="43" t="inlineStr">
        <is>
          <t>4</t>
        </is>
      </c>
      <c r="D11" s="43" t="inlineStr">
        <is>
          <t>RULE-19-01→19-10</t>
        </is>
      </c>
      <c r="E11" s="43" t="inlineStr">
        <is>
          <t>BE-2</t>
        </is>
      </c>
      <c r="F11" s="43" t="inlineStr">
        <is>
          <t>W4</t>
        </is>
      </c>
    </row>
    <row r="12">
      <c r="A12" s="41" t="inlineStr">
        <is>
          <t>Package</t>
        </is>
      </c>
      <c r="B12" s="43" t="inlineStr">
        <is>
          <t>PURCHASED, ACTIVATED, PARTIALLY_CONSUMED, FULLY_CONSUMED, CANCELLED, EXPIRED</t>
        </is>
      </c>
      <c r="C12" s="43" t="inlineStr">
        <is>
          <t>10</t>
        </is>
      </c>
      <c r="D12" s="43" t="inlineStr">
        <is>
          <t>RULE-20-01→20-08</t>
        </is>
      </c>
      <c r="E12" s="43" t="inlineStr">
        <is>
          <t>BE-2</t>
        </is>
      </c>
      <c r="F12" s="43" t="inlineStr">
        <is>
          <t>W4</t>
        </is>
      </c>
    </row>
    <row r="13">
      <c r="A13" s="41" t="inlineStr">
        <is>
          <t>StockTransfer</t>
        </is>
      </c>
      <c r="B13" s="43" t="inlineStr">
        <is>
          <t>REQUESTED, APPROVED, REJECTED, CANCELLED, IN_TRANSIT, DISCREPANCY_RECORDED, RECEIVED</t>
        </is>
      </c>
      <c r="C13" s="43" t="inlineStr">
        <is>
          <t>8</t>
        </is>
      </c>
      <c r="D13" s="43" t="inlineStr">
        <is>
          <t>RULE-12-04→12-10</t>
        </is>
      </c>
      <c r="E13" s="43" t="inlineStr">
        <is>
          <t>BE-2</t>
        </is>
      </c>
      <c r="F13" s="43" t="inlineStr">
        <is>
          <t>W4</t>
        </is>
      </c>
    </row>
    <row r="14">
      <c r="A14" s="41" t="inlineStr">
        <is>
          <t>PurchaseRequest</t>
        </is>
      </c>
      <c r="B14" s="43" t="inlineStr">
        <is>
          <t>DRAFT, SUBMITTED, APPROVED, REJECTED, CANCELLED</t>
        </is>
      </c>
      <c r="C14" s="43" t="inlineStr">
        <is>
          <t>6</t>
        </is>
      </c>
      <c r="D14" s="43" t="inlineStr">
        <is>
          <t>RULE-13-01→13-03</t>
        </is>
      </c>
      <c r="E14" s="43" t="inlineStr">
        <is>
          <t>BE-2</t>
        </is>
      </c>
      <c r="F14" s="43" t="inlineStr">
        <is>
          <t>W4</t>
        </is>
      </c>
    </row>
    <row r="15">
      <c r="A15" s="41" t="inlineStr">
        <is>
          <t>PurchaseOrder</t>
        </is>
      </c>
      <c r="B15" s="43" t="inlineStr">
        <is>
          <t>ISSUED, PARTIALLY_RECEIVED, RECEIVED, CLOSED, CANCELLED</t>
        </is>
      </c>
      <c r="C15" s="43" t="inlineStr">
        <is>
          <t>7</t>
        </is>
      </c>
      <c r="D15" s="43" t="inlineStr">
        <is>
          <t>RULE-13-04→13-08</t>
        </is>
      </c>
      <c r="E15" s="43" t="inlineStr">
        <is>
          <t>BE-2</t>
        </is>
      </c>
      <c r="F15" s="43" t="inlineStr">
        <is>
          <t>W4</t>
        </is>
      </c>
    </row>
    <row r="16">
      <c r="A16" s="41" t="inlineStr">
        <is>
          <t>Incident</t>
        </is>
      </c>
      <c r="B16" s="43" t="inlineStr">
        <is>
          <t>RECORDED, CLASSIFIED, UNDER_INVESTIGATION, ESCALATED, RESOLVED, CLOSED</t>
        </is>
      </c>
      <c r="C16" s="43" t="inlineStr">
        <is>
          <t>7</t>
        </is>
      </c>
      <c r="D16" s="43" t="inlineStr">
        <is>
          <t>RULE-21-01→21-08</t>
        </is>
      </c>
      <c r="E16" s="43" t="inlineStr">
        <is>
          <t>BE-2</t>
        </is>
      </c>
      <c r="F16" s="43" t="inlineStr">
        <is>
          <t>W4</t>
        </is>
      </c>
    </row>
    <row r="17">
      <c r="A17" s="41" t="inlineStr">
        <is>
          <t>Consent</t>
        </is>
      </c>
      <c r="B17" s="43" t="inlineStr">
        <is>
          <t>REQUESTED, ACTIVE, REVOKED, EXPIRED</t>
        </is>
      </c>
      <c r="C17" s="43" t="inlineStr">
        <is>
          <t>6 (Dual-protocol)</t>
        </is>
      </c>
      <c r="D17" s="43" t="inlineStr">
        <is>
          <t>RULE-22-01→22-10</t>
        </is>
      </c>
      <c r="E17" s="43" t="inlineStr">
        <is>
          <t>BE-2</t>
        </is>
      </c>
      <c r="F17" s="43" t="inlineStr">
        <is>
          <t>W3</t>
        </is>
      </c>
    </row>
    <row r="18">
      <c r="A18" s="41" t="inlineStr">
        <is>
          <t>Grooming</t>
        </is>
      </c>
      <c r="B18" s="43" t="inlineStr">
        <is>
          <t>WAITING, IN_PROGRESS, AWAITING_CUSTOMER_APPROVAL, COMPLETED, CANCELLED, ABORTED, REJECTED</t>
        </is>
      </c>
      <c r="C18" s="43" t="inlineStr">
        <is>
          <t>9 (+Surcharge D-02)</t>
        </is>
      </c>
      <c r="D18" s="43" t="inlineStr">
        <is>
          <t>RULE-11-01→11-06</t>
        </is>
      </c>
      <c r="E18" s="43" t="inlineStr">
        <is>
          <t>BE-2</t>
        </is>
      </c>
      <c r="F18" s="43" t="inlineStr">
        <is>
          <t>W6</t>
        </is>
      </c>
    </row>
    <row r="19">
      <c r="A19" s="41" t="inlineStr">
        <is>
          <t>Walk-in Queue</t>
        </is>
      </c>
      <c r="B19" s="43" t="inlineStr">
        <is>
          <t>WAITING, CALLED, IN_SERVICE, COMPLETED, CANCELLED, NO_SHOW</t>
        </is>
      </c>
      <c r="C19" s="43" t="inlineStr">
        <is>
          <t>7 (+Bridge)</t>
        </is>
      </c>
      <c r="D19" s="43" t="inlineStr">
        <is>
          <t>RULE-07-01→07-08</t>
        </is>
      </c>
      <c r="E19" s="43" t="inlineStr">
        <is>
          <t>BE-2</t>
        </is>
      </c>
      <c r="F19" s="43" t="inlineStr">
        <is>
          <t>W6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8" customWidth="1" min="4" max="4"/>
  </cols>
  <sheetData>
    <row r="1" ht="28" customHeight="1">
      <c r="A1" s="1" t="inlineStr">
        <is>
          <t>DASHBOARD TIẾN ĐỘ</t>
        </is>
      </c>
    </row>
    <row r="3">
      <c r="A3" s="44" t="inlineStr">
        <is>
          <t>Tổng số task</t>
        </is>
      </c>
      <c r="B3" s="45">
        <f>ROWS('Timeline Dự án'!A5:A67)</f>
        <v/>
      </c>
      <c r="C3" s="46" t="inlineStr">
        <is>
          <t>Milestone</t>
        </is>
      </c>
      <c r="D3" s="46" t="inlineStr">
        <is>
          <t>Ngày chốt</t>
        </is>
      </c>
    </row>
    <row r="4">
      <c r="A4" s="44" t="inlineStr">
        <is>
          <t>Đã hoàn thành</t>
        </is>
      </c>
      <c r="B4" s="45">
        <f>COUNTIF('Timeline Dự án'!G5:G67,"Hoàn thành")</f>
        <v/>
      </c>
      <c r="C4" s="47" t="inlineStr">
        <is>
          <t>M1: Foundation (W1) — CRUD nền toàn modules</t>
        </is>
      </c>
      <c r="D4" s="48" t="inlineStr">
        <is>
          <t>14/09/2026</t>
        </is>
      </c>
    </row>
    <row r="5">
      <c r="A5" s="44" t="inlineStr">
        <is>
          <t>Đang làm</t>
        </is>
      </c>
      <c r="B5" s="45">
        <f>COUNTIF('Timeline Dự án'!G5:G67,"Đang làm")</f>
        <v/>
      </c>
      <c r="C5" s="47" t="inlineStr">
        <is>
          <t>M2: Core FSM (W2) — Appointment + Order + Payment chạy</t>
        </is>
      </c>
      <c r="D5" s="48" t="inlineStr">
        <is>
          <t>21/09/2026</t>
        </is>
      </c>
    </row>
    <row r="6">
      <c r="A6" s="44" t="inlineStr">
        <is>
          <t>Bị block</t>
        </is>
      </c>
      <c r="B6" s="45">
        <f>COUNTIF('Timeline Dự án'!G5:G67,"Bị block")</f>
        <v/>
      </c>
      <c r="C6" s="47" t="inlineStr">
        <is>
          <t>M3: Commerce (W3–W4) — Invoice/Refund/Clinical + bridges</t>
        </is>
      </c>
      <c r="D6" s="48" t="inlineStr">
        <is>
          <t>05/10/2026</t>
        </is>
      </c>
    </row>
    <row r="7">
      <c r="A7" s="44" t="inlineStr">
        <is>
          <t>Tỷ lệ hoàn thành</t>
        </is>
      </c>
      <c r="B7" s="49">
        <f>COUNTIF('Timeline Dự án'!G5:G67,"Hoàn thành")/ROWS('Timeline Dự án'!A5:A67)</f>
        <v/>
      </c>
      <c r="C7" s="47" t="inlineStr">
        <is>
          <t>M4: Demo Ready (W5–W6) — FE đầy đủ + Docker + demo</t>
        </is>
      </c>
      <c r="D7" s="48" t="inlineStr">
        <is>
          <t>19/10/2026</t>
        </is>
      </c>
    </row>
    <row r="8">
      <c r="A8" s="44" t="inlineStr">
        <is>
          <t>Task BE-1</t>
        </is>
      </c>
      <c r="B8" s="45">
        <f>COUNTIF('Timeline Dự án'!F5:F67,"BE-1 (Backend)")</f>
        <v/>
      </c>
    </row>
    <row r="9">
      <c r="A9" s="44" t="inlineStr">
        <is>
          <t>Task BE-2</t>
        </is>
      </c>
      <c r="B9" s="45">
        <f>COUNTIF('Timeline Dự án'!F5:F67,"BE-2 (Backend)")</f>
        <v/>
      </c>
    </row>
    <row r="10">
      <c r="A10" s="44" t="inlineStr">
        <is>
          <t>Task FE-1</t>
        </is>
      </c>
      <c r="B10" s="45">
        <f>COUNTIF('Timeline Dự án'!F5:F67,"FE-1 (Frontend)")</f>
        <v/>
      </c>
    </row>
    <row r="11">
      <c r="A11" s="44" t="inlineStr">
        <is>
          <t>Task quá hạn</t>
        </is>
      </c>
      <c r="B11" s="45">
        <f>COUNTIFS('Timeline Dự án'!E5:E67,"&lt;"&amp;TODAY(),'Timeline Dự án'!G5:G67,"&lt;&gt;Hoàn thành")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2026-09-04T04:45:59Z</dcterms:created>
  <dcterms:modified xsi:type="dcterms:W3CDTF">2026-09-07T09:10:08Z</dcterms:modified>
</cp:coreProperties>
</file>